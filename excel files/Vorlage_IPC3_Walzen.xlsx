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duktion\1_Artikel\1_Marke\31962\IPC_Etiketten_Packliste\"/>
    </mc:Choice>
  </mc:AlternateContent>
  <xr:revisionPtr revIDLastSave="0" documentId="13_ncr:1_{6FCB7D8C-3620-4343-BF0F-7196CEB2F7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  <sheet name="Tabelle2" sheetId="2" r:id="rId2"/>
  </sheets>
  <externalReferences>
    <externalReference r:id="rId3"/>
  </externalReferences>
  <definedNames>
    <definedName name="_xlnm.Print_Titles" localSheetId="0">Tabelle1!$7:$12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  <c r="D11" i="1"/>
  <c r="C11" i="1"/>
  <c r="D10" i="1"/>
  <c r="C10" i="1"/>
  <c r="B5" i="1"/>
  <c r="B4" i="1"/>
</calcChain>
</file>

<file path=xl/sharedStrings.xml><?xml version="1.0" encoding="utf-8"?>
<sst xmlns="http://schemas.openxmlformats.org/spreadsheetml/2006/main" count="125" uniqueCount="76">
  <si>
    <t>LOT:</t>
  </si>
  <si>
    <t>Prüfmittel Nr.:</t>
  </si>
  <si>
    <t>VD:</t>
  </si>
  <si>
    <t>IPC Walzen</t>
  </si>
  <si>
    <t>LOT             Art.50814 / 50814.D</t>
  </si>
  <si>
    <t>Datum, Unterschrift</t>
  </si>
  <si>
    <t>Sollwerte</t>
  </si>
  <si>
    <t>-</t>
  </si>
  <si>
    <t>Mittelwert</t>
  </si>
  <si>
    <t>Maximiun</t>
  </si>
  <si>
    <t>Minimum</t>
  </si>
  <si>
    <t>Richtwert Schichtdicke: 
Links / Rechts</t>
  </si>
  <si>
    <t>REF 31962</t>
  </si>
  <si>
    <t xml:space="preserve">Sugi Instrument Wipe, 80x80mm, none-sterile, 250 pcs. </t>
  </si>
  <si>
    <t>Rolle / Bahn / Nutzen Nr.</t>
  </si>
  <si>
    <t>0,5 mm (0,3 - 0,6 mm)</t>
  </si>
  <si>
    <t>30.09.2024 S. Rüther</t>
  </si>
  <si>
    <t>25044311  24.03.2026 Walter</t>
  </si>
  <si>
    <t>252C/B2/S2</t>
  </si>
  <si>
    <t>24.03.2026 Walter</t>
  </si>
  <si>
    <t>252C/B2/S1</t>
  </si>
  <si>
    <t>248C/B1/S1</t>
  </si>
  <si>
    <t>248C/B2/S1</t>
  </si>
  <si>
    <t>248C/B1/S2</t>
  </si>
  <si>
    <t>248C/B2/S2</t>
  </si>
  <si>
    <t>280C/B2/S1</t>
  </si>
  <si>
    <t>252C/B1/S1</t>
  </si>
  <si>
    <t>252C/B1/S2</t>
  </si>
  <si>
    <t>280C/B2/S2</t>
  </si>
  <si>
    <t>25.03.2026 Walter</t>
  </si>
  <si>
    <t>180C/B2/S3</t>
  </si>
  <si>
    <t>280C/B1/S1</t>
  </si>
  <si>
    <t>49B/B1/S1</t>
  </si>
  <si>
    <t>49B/B2/S1</t>
  </si>
  <si>
    <t>49B/B1/S2</t>
  </si>
  <si>
    <t>280C/B1/S2</t>
  </si>
  <si>
    <t>182B/B2/S1</t>
  </si>
  <si>
    <t>27.03.2026 Walter</t>
  </si>
  <si>
    <t>188B/B2/S2</t>
  </si>
  <si>
    <t>27.03.2026 Löhl</t>
  </si>
  <si>
    <t>186B/B2/S2</t>
  </si>
  <si>
    <t>189B/B2/S1</t>
  </si>
  <si>
    <t>183B/B2/S1</t>
  </si>
  <si>
    <t>186B/B2/S1</t>
  </si>
  <si>
    <t>183B/B1/S1</t>
  </si>
  <si>
    <t>183B/B1/S2</t>
  </si>
  <si>
    <t>30.03.2026 Weller</t>
  </si>
  <si>
    <t>189B/B2/S2</t>
  </si>
  <si>
    <t>189B/B1/S2</t>
  </si>
  <si>
    <t>189B/B1/S1</t>
  </si>
  <si>
    <t>183B/B2/S2</t>
  </si>
  <si>
    <t>186B/B1/S1</t>
  </si>
  <si>
    <t>186B/B1/S2</t>
  </si>
  <si>
    <t>188B/B2/S1</t>
  </si>
  <si>
    <t>188B/B1/S2</t>
  </si>
  <si>
    <t>187B/B2/S2</t>
  </si>
  <si>
    <t>31.03.2026 Weller</t>
  </si>
  <si>
    <t>188B/B1/S1</t>
  </si>
  <si>
    <t>187B/B1/S2</t>
  </si>
  <si>
    <t>187B/B2/S1</t>
  </si>
  <si>
    <t>31.03.2026 Moos</t>
  </si>
  <si>
    <t>182B/B2/S2</t>
  </si>
  <si>
    <t>187B/B1/S1</t>
  </si>
  <si>
    <t>182B/B1/S2</t>
  </si>
  <si>
    <t>184/B/B2/S2</t>
  </si>
  <si>
    <t>182B/B1/S1</t>
  </si>
  <si>
    <t>184B/B2/S1</t>
  </si>
  <si>
    <t>185B/B1/S2</t>
  </si>
  <si>
    <t>185B/B1/S1</t>
  </si>
  <si>
    <t>185B/B2/S1</t>
  </si>
  <si>
    <t>184B/B1/S2</t>
  </si>
  <si>
    <t>01.04.2026 Weller</t>
  </si>
  <si>
    <t>184B/B1/S1</t>
  </si>
  <si>
    <t>172D/S2</t>
  </si>
  <si>
    <t>185B/B2/S2</t>
  </si>
  <si>
    <t>172D/S1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</si>
</sst>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5"/>
      <color theme="1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/>
    </xf>
    <xf numFmtId="14" fontId="0" fillId="0" borderId="6" xfId="0" applyNumberFormat="1" applyBorder="1" applyAlignment="1" applyProtection="1">
      <alignment horizontal="center" vertical="center"/>
      <protection locked="0"/>
    </xf>
    <xf numFmtId="14" fontId="0" fillId="0" borderId="8" xfId="0" applyNumberFormat="1" applyBorder="1" applyAlignment="1" applyProtection="1">
      <alignment vertical="top"/>
      <protection locked="0"/>
    </xf>
    <xf numFmtId="2" fontId="1" fillId="4" borderId="8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165" fontId="1" fillId="4" borderId="9" xfId="0" applyNumberFormat="1" applyFont="1" applyFill="1" applyBorder="1" applyAlignment="1">
      <alignment horizontal="center"/>
    </xf>
    <xf numFmtId="165" fontId="1" fillId="4" borderId="4" xfId="0" applyNumberFormat="1" applyFont="1" applyFill="1" applyBorder="1" applyAlignment="1">
      <alignment horizontal="center"/>
    </xf>
    <xf numFmtId="165" fontId="1" fillId="4" borderId="12" xfId="0" applyNumberFormat="1" applyFont="1" applyFill="1" applyBorder="1" applyAlignment="1">
      <alignment horizontal="center"/>
    </xf>
    <xf numFmtId="16" fontId="0" fillId="0" borderId="5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7" xfId="0" applyNumberFormat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14" fontId="0" fillId="0" borderId="5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165" fontId="0" fillId="0" borderId="5" xfId="0" applyNumberFormat="1" applyBorder="1" applyAlignment="1" applyProtection="1">
      <alignment horizontal="center" vertical="center"/>
      <protection locked="0"/>
    </xf>
    <xf numFmtId="165" fontId="0" fillId="0" borderId="10" xfId="0" applyNumberForma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Produktion\1_Artikel\1_Marke\31962\IPC_Etiketten_Packliste\Vorlage%20Etikett.xlsx" TargetMode="External"/><Relationship Id="rId1" Type="http://schemas.openxmlformats.org/officeDocument/2006/relationships/externalLinkPath" Target="Vorlage%20Etik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A2" t="str">
            <v>2031-02-28</v>
          </cell>
          <cell r="B2">
            <v>265321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2"/>
  <sheetViews>
    <sheetView tabSelected="1" topLeftCell="A50" zoomScale="130" zoomScaleNormal="130" workbookViewId="0">
      <selection activeCell="B62" sqref="B62"/>
    </sheetView>
  </sheetViews>
  <sheetFormatPr baseColWidth="10" defaultRowHeight="14.4" x14ac:dyDescent="0.3"/>
  <cols>
    <col min="1" max="1" width="13.33203125" customWidth="1"/>
    <col min="2" max="2" width="15.44140625" customWidth="1"/>
    <col min="3" max="3" width="17.44140625" customWidth="1"/>
    <col min="4" max="4" width="18.109375" customWidth="1"/>
    <col min="5" max="5" width="28.33203125" customWidth="1"/>
  </cols>
  <sheetData>
    <row r="1" spans="1:5" ht="16.2" x14ac:dyDescent="0.3">
      <c r="A1" s="3" t="s">
        <v>12</v>
      </c>
    </row>
    <row r="2" spans="1:5" ht="16.2" x14ac:dyDescent="0.3">
      <c r="A2" s="3" t="s">
        <v>13</v>
      </c>
    </row>
    <row r="3" spans="1:5" ht="19.8" x14ac:dyDescent="0.35">
      <c r="A3" s="4"/>
      <c r="B3" s="5"/>
      <c r="C3" s="6"/>
      <c r="D3" s="6"/>
      <c r="E3" s="6"/>
    </row>
    <row r="4" spans="1:5" ht="18" x14ac:dyDescent="0.35">
      <c r="A4" s="7" t="s">
        <v>0</v>
      </c>
      <c r="B4" s="6">
        <f>[1]Tabelle1!$B$2</f>
        <v>265321</v>
      </c>
      <c r="D4" s="7" t="s">
        <v>1</v>
      </c>
      <c r="E4" s="1" t="s">
        <v>17</v>
      </c>
    </row>
    <row r="5" spans="1:5" ht="18" x14ac:dyDescent="0.35">
      <c r="A5" s="7" t="s">
        <v>2</v>
      </c>
      <c r="B5" s="8" t="str">
        <f>[1]Tabelle1!$A$2</f>
        <v>2031-02-28</v>
      </c>
      <c r="C5" s="6"/>
      <c r="D5" s="2"/>
      <c r="E5" s="2"/>
    </row>
    <row r="6" spans="1:5" ht="18" x14ac:dyDescent="0.35">
      <c r="A6" s="7"/>
      <c r="B6" s="9"/>
      <c r="C6" s="6"/>
      <c r="D6" s="6"/>
      <c r="E6" s="7"/>
    </row>
    <row r="7" spans="1:5" ht="18.600000000000001" thickBot="1" x14ac:dyDescent="0.4">
      <c r="A7" s="10" t="s">
        <v>3</v>
      </c>
      <c r="B7" s="11"/>
      <c r="C7" s="12"/>
      <c r="D7" s="12"/>
      <c r="E7" s="11"/>
    </row>
    <row r="8" spans="1:5" ht="43.2" x14ac:dyDescent="0.3">
      <c r="A8" s="13" t="s">
        <v>4</v>
      </c>
      <c r="B8" s="19" t="s">
        <v>14</v>
      </c>
      <c r="C8" s="39" t="s">
        <v>11</v>
      </c>
      <c r="D8" s="40"/>
      <c r="E8" s="13" t="s">
        <v>5</v>
      </c>
    </row>
    <row r="9" spans="1:5" x14ac:dyDescent="0.3">
      <c r="A9" s="14" t="s">
        <v>6</v>
      </c>
      <c r="B9" s="20" t="s">
        <v>7</v>
      </c>
      <c r="C9" s="41" t="s">
        <v>15</v>
      </c>
      <c r="D9" s="42"/>
      <c r="E9" s="14" t="s">
        <v>7</v>
      </c>
    </row>
    <row r="10" spans="1:5" x14ac:dyDescent="0.3">
      <c r="A10" s="23" t="s">
        <v>8</v>
      </c>
      <c r="B10" s="21" t="s">
        <v>7</v>
      </c>
      <c r="C10" s="25">
        <f>SUBTOTAL(1,C13:C160)</f>
        <v>0.47820000000000007</v>
      </c>
      <c r="D10" s="26">
        <f>SUBTOTAL(1,D13:D160)</f>
        <v>0.47139999999999993</v>
      </c>
      <c r="E10" s="15" t="s">
        <v>7</v>
      </c>
    </row>
    <row r="11" spans="1:5" x14ac:dyDescent="0.3">
      <c r="A11" s="23" t="s">
        <v>9</v>
      </c>
      <c r="B11" s="21" t="s">
        <v>7</v>
      </c>
      <c r="C11" s="25">
        <f>MAX(C13:C160)</f>
        <v>0.6</v>
      </c>
      <c r="D11" s="26">
        <f>MAX(D13:D160)</f>
        <v>0.6</v>
      </c>
      <c r="E11" s="15" t="s">
        <v>7</v>
      </c>
    </row>
    <row r="12" spans="1:5" ht="15" thickBot="1" x14ac:dyDescent="0.35">
      <c r="A12" s="24" t="s">
        <v>10</v>
      </c>
      <c r="B12" s="22" t="s">
        <v>7</v>
      </c>
      <c r="C12" s="27">
        <f>MIN(C13:C160)</f>
        <v>0.39</v>
      </c>
      <c r="D12" s="28">
        <f>MIN(D13:D160)</f>
        <v>0.39</v>
      </c>
      <c r="E12" s="18" t="s">
        <v>7</v>
      </c>
    </row>
    <row r="13" spans="1:5" ht="15" thickBot="1" x14ac:dyDescent="0.35">
      <c r="A13" s="30">
        <v>1242562</v>
      </c>
      <c r="B13" s="29" t="s">
        <v>18</v>
      </c>
      <c r="C13" s="37">
        <v>0.4</v>
      </c>
      <c r="D13" s="38">
        <v>0.4</v>
      </c>
      <c r="E13" s="35" t="s">
        <v>19</v>
      </c>
    </row>
    <row r="14" spans="1:5" ht="15" thickBot="1" x14ac:dyDescent="0.35">
      <c r="A14" s="31">
        <v>1242562</v>
      </c>
      <c r="B14" s="29" t="s">
        <v>20</v>
      </c>
      <c r="C14" s="37">
        <v>0.5</v>
      </c>
      <c r="D14" s="38">
        <v>0.4</v>
      </c>
      <c r="E14" s="36" t="s">
        <v>19</v>
      </c>
    </row>
    <row r="15" spans="1:5" ht="15" thickBot="1" x14ac:dyDescent="0.35">
      <c r="A15" s="31">
        <v>1242562</v>
      </c>
      <c r="B15" s="29" t="s">
        <v>21</v>
      </c>
      <c r="C15" s="37">
        <v>0.4</v>
      </c>
      <c r="D15" s="38">
        <v>0.4</v>
      </c>
      <c r="E15" s="36" t="s">
        <v>19</v>
      </c>
    </row>
    <row r="16" spans="1:5" ht="15" thickBot="1" x14ac:dyDescent="0.35">
      <c r="A16" s="31">
        <v>1242562</v>
      </c>
      <c r="B16" s="29" t="s">
        <v>22</v>
      </c>
      <c r="C16" s="37">
        <v>0.4</v>
      </c>
      <c r="D16" s="38">
        <v>0.4</v>
      </c>
      <c r="E16" s="16" t="s">
        <v>19</v>
      </c>
    </row>
    <row r="17" spans="1:8" ht="15" thickBot="1" x14ac:dyDescent="0.35">
      <c r="A17" s="31">
        <v>1242562</v>
      </c>
      <c r="B17" s="29" t="s">
        <v>23</v>
      </c>
      <c r="C17" s="37">
        <v>0.4</v>
      </c>
      <c r="D17" s="38">
        <v>0.4</v>
      </c>
      <c r="E17" s="16" t="s">
        <v>19</v>
      </c>
    </row>
    <row r="18" spans="1:8" ht="15" thickBot="1" x14ac:dyDescent="0.35">
      <c r="A18" s="31">
        <v>1242562</v>
      </c>
      <c r="B18" s="29" t="s">
        <v>24</v>
      </c>
      <c r="C18" s="37">
        <v>0.4</v>
      </c>
      <c r="D18" s="38">
        <v>0.4</v>
      </c>
      <c r="E18" s="16" t="s">
        <v>19</v>
      </c>
    </row>
    <row r="19" spans="1:8" ht="15" thickBot="1" x14ac:dyDescent="0.35">
      <c r="A19" s="31">
        <v>1252524</v>
      </c>
      <c r="B19" s="29" t="s">
        <v>25</v>
      </c>
      <c r="C19" s="37">
        <v>0.6</v>
      </c>
      <c r="D19" s="38">
        <v>0.6</v>
      </c>
      <c r="E19" s="16" t="s">
        <v>19</v>
      </c>
    </row>
    <row r="20" spans="1:8" ht="15" thickBot="1" x14ac:dyDescent="0.35">
      <c r="A20" s="31">
        <v>1242562</v>
      </c>
      <c r="B20" s="29" t="s">
        <v>27</v>
      </c>
      <c r="C20" s="37">
        <v>0.4</v>
      </c>
      <c r="D20" s="38">
        <v>0.4</v>
      </c>
      <c r="E20" s="16" t="s">
        <v>19</v>
      </c>
    </row>
    <row r="21" spans="1:8" ht="15" thickBot="1" x14ac:dyDescent="0.35">
      <c r="A21" s="31">
        <v>1242562</v>
      </c>
      <c r="B21" s="29" t="s">
        <v>26</v>
      </c>
      <c r="C21" s="37">
        <v>0.5</v>
      </c>
      <c r="D21" s="38">
        <v>0.6</v>
      </c>
      <c r="E21" s="16" t="s">
        <v>19</v>
      </c>
    </row>
    <row r="22" spans="1:8" ht="15" thickBot="1" x14ac:dyDescent="0.35">
      <c r="A22" s="31">
        <v>1252524</v>
      </c>
      <c r="B22" s="29" t="s">
        <v>28</v>
      </c>
      <c r="C22" s="37">
        <v>0.5</v>
      </c>
      <c r="D22" s="38">
        <v>0.5</v>
      </c>
      <c r="E22" s="16" t="s">
        <v>29</v>
      </c>
    </row>
    <row r="23" spans="1:8" ht="15" thickBot="1" x14ac:dyDescent="0.35">
      <c r="A23" s="31">
        <v>1252524</v>
      </c>
      <c r="B23" s="29" t="s">
        <v>30</v>
      </c>
      <c r="C23" s="37">
        <v>0.6</v>
      </c>
      <c r="D23" s="38">
        <v>0.6</v>
      </c>
      <c r="E23" s="16" t="s">
        <v>29</v>
      </c>
    </row>
    <row r="24" spans="1:8" ht="15" thickBot="1" x14ac:dyDescent="0.35">
      <c r="A24" s="31">
        <v>1252524</v>
      </c>
      <c r="B24" s="29" t="s">
        <v>31</v>
      </c>
      <c r="C24" s="37">
        <v>0.5</v>
      </c>
      <c r="D24" s="38">
        <v>0.5</v>
      </c>
      <c r="E24" s="16" t="s">
        <v>29</v>
      </c>
    </row>
    <row r="25" spans="1:8" ht="15" thickBot="1" x14ac:dyDescent="0.35">
      <c r="A25" s="31">
        <v>1242676</v>
      </c>
      <c r="B25" s="29" t="s">
        <v>32</v>
      </c>
      <c r="C25" s="37">
        <v>0.5</v>
      </c>
      <c r="D25" s="38">
        <v>0.5</v>
      </c>
      <c r="E25" s="16" t="s">
        <v>29</v>
      </c>
    </row>
    <row r="26" spans="1:8" ht="15" thickBot="1" x14ac:dyDescent="0.35">
      <c r="A26" s="31">
        <v>1242676</v>
      </c>
      <c r="B26" s="29" t="s">
        <v>33</v>
      </c>
      <c r="C26" s="37">
        <v>0.5</v>
      </c>
      <c r="D26" s="38">
        <v>0.5</v>
      </c>
      <c r="E26" s="16" t="s">
        <v>29</v>
      </c>
    </row>
    <row r="27" spans="1:8" ht="15" thickBot="1" x14ac:dyDescent="0.35">
      <c r="A27" s="31">
        <v>1242676</v>
      </c>
      <c r="B27" s="29" t="s">
        <v>34</v>
      </c>
      <c r="C27" s="37">
        <v>0.5</v>
      </c>
      <c r="D27" s="38">
        <v>0.5</v>
      </c>
      <c r="E27" s="16" t="s">
        <v>29</v>
      </c>
    </row>
    <row r="28" spans="1:8" ht="15" thickBot="1" x14ac:dyDescent="0.35">
      <c r="A28" s="31">
        <v>1252524</v>
      </c>
      <c r="B28" s="29" t="s">
        <v>35</v>
      </c>
      <c r="C28" s="37">
        <v>0.5</v>
      </c>
      <c r="D28" s="38">
        <v>0.5</v>
      </c>
      <c r="E28" s="16" t="s">
        <v>29</v>
      </c>
      <c r="F28" s="34"/>
    </row>
    <row r="29" spans="1:8" ht="15" thickBot="1" x14ac:dyDescent="0.35">
      <c r="A29" s="31">
        <v>1242694</v>
      </c>
      <c r="B29" s="29" t="s">
        <v>36</v>
      </c>
      <c r="C29" s="37">
        <v>0.5</v>
      </c>
      <c r="D29" s="38">
        <v>0.5</v>
      </c>
      <c r="E29" s="16" t="s">
        <v>37</v>
      </c>
      <c r="F29" s="34"/>
    </row>
    <row r="30" spans="1:8" ht="15" thickBot="1" x14ac:dyDescent="0.35">
      <c r="A30" s="31">
        <v>1242694</v>
      </c>
      <c r="B30" s="29" t="s">
        <v>38</v>
      </c>
      <c r="C30" s="37">
        <v>0.44</v>
      </c>
      <c r="D30" s="38">
        <v>0.45</v>
      </c>
      <c r="E30" s="16" t="s">
        <v>39</v>
      </c>
    </row>
    <row r="31" spans="1:8" ht="15" thickBot="1" x14ac:dyDescent="0.35">
      <c r="A31" s="31">
        <v>1242694</v>
      </c>
      <c r="B31" s="29" t="s">
        <v>40</v>
      </c>
      <c r="C31" s="37">
        <v>0.46</v>
      </c>
      <c r="D31" s="38">
        <v>0.53</v>
      </c>
      <c r="E31" s="16" t="s">
        <v>39</v>
      </c>
      <c r="F31" s="34"/>
      <c r="G31" s="34"/>
      <c r="H31" s="34"/>
    </row>
    <row r="32" spans="1:8" ht="15" thickBot="1" x14ac:dyDescent="0.35">
      <c r="A32" s="31">
        <v>1242694</v>
      </c>
      <c r="B32" s="29" t="s">
        <v>41</v>
      </c>
      <c r="C32" s="37">
        <v>0.53</v>
      </c>
      <c r="D32" s="38">
        <v>0.51</v>
      </c>
      <c r="E32" s="16" t="s">
        <v>39</v>
      </c>
    </row>
    <row r="33" spans="1:5" ht="15" thickBot="1" x14ac:dyDescent="0.35">
      <c r="A33" s="31">
        <v>1242694</v>
      </c>
      <c r="B33" s="29" t="s">
        <v>42</v>
      </c>
      <c r="C33" s="37">
        <v>0.55000000000000004</v>
      </c>
      <c r="D33" s="38">
        <v>0.56000000000000005</v>
      </c>
      <c r="E33" s="16" t="s">
        <v>39</v>
      </c>
    </row>
    <row r="34" spans="1:5" ht="15" thickBot="1" x14ac:dyDescent="0.35">
      <c r="A34" s="31">
        <v>1242694</v>
      </c>
      <c r="B34" s="29" t="s">
        <v>43</v>
      </c>
      <c r="C34" s="37">
        <v>0.53</v>
      </c>
      <c r="D34" s="38">
        <v>0.53</v>
      </c>
      <c r="E34" s="16" t="s">
        <v>39</v>
      </c>
    </row>
    <row r="35" spans="1:5" ht="15" thickBot="1" x14ac:dyDescent="0.35">
      <c r="A35" s="31">
        <v>1242694</v>
      </c>
      <c r="B35" s="29" t="s">
        <v>44</v>
      </c>
      <c r="C35" s="37">
        <v>0.59</v>
      </c>
      <c r="D35" s="38">
        <v>0.53</v>
      </c>
      <c r="E35" s="16" t="s">
        <v>39</v>
      </c>
    </row>
    <row r="36" spans="1:5" ht="15" thickBot="1" x14ac:dyDescent="0.35">
      <c r="A36" s="31">
        <v>1242694</v>
      </c>
      <c r="B36" s="29" t="s">
        <v>45</v>
      </c>
      <c r="C36" s="37">
        <v>0.47</v>
      </c>
      <c r="D36" s="38">
        <v>0.46</v>
      </c>
      <c r="E36" s="16" t="s">
        <v>46</v>
      </c>
    </row>
    <row r="37" spans="1:5" ht="15" thickBot="1" x14ac:dyDescent="0.35">
      <c r="A37" s="31">
        <v>1242694</v>
      </c>
      <c r="B37" s="29" t="s">
        <v>47</v>
      </c>
      <c r="C37" s="37">
        <v>0.5</v>
      </c>
      <c r="D37" s="38">
        <v>0.5</v>
      </c>
      <c r="E37" s="16" t="s">
        <v>46</v>
      </c>
    </row>
    <row r="38" spans="1:5" ht="15" thickBot="1" x14ac:dyDescent="0.35">
      <c r="A38" s="31">
        <v>1242694</v>
      </c>
      <c r="B38" s="29" t="s">
        <v>48</v>
      </c>
      <c r="C38" s="37">
        <v>0.5</v>
      </c>
      <c r="D38" s="38">
        <v>0.5</v>
      </c>
      <c r="E38" s="16" t="s">
        <v>46</v>
      </c>
    </row>
    <row r="39" spans="1:5" ht="15" thickBot="1" x14ac:dyDescent="0.35">
      <c r="A39" s="31">
        <v>1242694</v>
      </c>
      <c r="B39" s="29" t="s">
        <v>49</v>
      </c>
      <c r="C39" s="37">
        <v>0.5</v>
      </c>
      <c r="D39" s="38">
        <v>0.48</v>
      </c>
      <c r="E39" s="16" t="s">
        <v>46</v>
      </c>
    </row>
    <row r="40" spans="1:5" ht="15" thickBot="1" x14ac:dyDescent="0.35">
      <c r="A40" s="31">
        <v>1242694</v>
      </c>
      <c r="B40" s="29" t="s">
        <v>50</v>
      </c>
      <c r="C40" s="37">
        <v>0.5</v>
      </c>
      <c r="D40" s="38">
        <v>0.4</v>
      </c>
      <c r="E40" s="16" t="s">
        <v>46</v>
      </c>
    </row>
    <row r="41" spans="1:5" ht="15" thickBot="1" x14ac:dyDescent="0.35">
      <c r="A41" s="31">
        <v>1242694</v>
      </c>
      <c r="B41" s="29" t="s">
        <v>51</v>
      </c>
      <c r="C41" s="37">
        <v>0.5</v>
      </c>
      <c r="D41" s="38">
        <v>0.5</v>
      </c>
      <c r="E41" s="16" t="s">
        <v>46</v>
      </c>
    </row>
    <row r="42" spans="1:5" ht="15" thickBot="1" x14ac:dyDescent="0.35">
      <c r="A42" s="31">
        <v>1242694</v>
      </c>
      <c r="B42" s="29" t="s">
        <v>52</v>
      </c>
      <c r="C42" s="37">
        <v>0.48</v>
      </c>
      <c r="D42" s="38">
        <v>0.49</v>
      </c>
      <c r="E42" s="16" t="s">
        <v>46</v>
      </c>
    </row>
    <row r="43" spans="1:5" ht="15" thickBot="1" x14ac:dyDescent="0.35">
      <c r="A43" s="31">
        <v>1242694</v>
      </c>
      <c r="B43" s="29" t="s">
        <v>53</v>
      </c>
      <c r="C43" s="37">
        <v>0.5</v>
      </c>
      <c r="D43" s="38">
        <v>0.5</v>
      </c>
      <c r="E43" s="16" t="s">
        <v>46</v>
      </c>
    </row>
    <row r="44" spans="1:5" ht="15" thickBot="1" x14ac:dyDescent="0.35">
      <c r="A44" s="31">
        <v>1242694</v>
      </c>
      <c r="B44" s="29" t="s">
        <v>54</v>
      </c>
      <c r="C44" s="37">
        <v>0.5</v>
      </c>
      <c r="D44" s="38">
        <v>0.5</v>
      </c>
      <c r="E44" s="16" t="s">
        <v>46</v>
      </c>
    </row>
    <row r="45" spans="1:5" ht="15" thickBot="1" x14ac:dyDescent="0.35">
      <c r="A45" s="31">
        <v>1242694</v>
      </c>
      <c r="B45" s="29" t="s">
        <v>55</v>
      </c>
      <c r="C45" s="37">
        <v>0.49</v>
      </c>
      <c r="D45" s="38">
        <v>0.42</v>
      </c>
      <c r="E45" s="16" t="s">
        <v>56</v>
      </c>
    </row>
    <row r="46" spans="1:5" ht="15" thickBot="1" x14ac:dyDescent="0.35">
      <c r="A46" s="31">
        <v>1242694</v>
      </c>
      <c r="B46" s="29" t="s">
        <v>57</v>
      </c>
      <c r="C46" s="37">
        <v>0.48</v>
      </c>
      <c r="D46" s="38">
        <v>0.44</v>
      </c>
      <c r="E46" s="16" t="s">
        <v>56</v>
      </c>
    </row>
    <row r="47" spans="1:5" ht="15" thickBot="1" x14ac:dyDescent="0.35">
      <c r="A47" s="31">
        <v>1242694</v>
      </c>
      <c r="B47" s="29" t="s">
        <v>58</v>
      </c>
      <c r="C47" s="37">
        <v>0.44</v>
      </c>
      <c r="D47" s="38">
        <v>0.48</v>
      </c>
      <c r="E47" s="16" t="s">
        <v>56</v>
      </c>
    </row>
    <row r="48" spans="1:5" ht="15" thickBot="1" x14ac:dyDescent="0.35">
      <c r="A48" s="31">
        <v>1242694</v>
      </c>
      <c r="B48" s="29" t="s">
        <v>59</v>
      </c>
      <c r="C48" s="37">
        <v>0.49</v>
      </c>
      <c r="D48" s="38">
        <v>0.49</v>
      </c>
      <c r="E48" s="16" t="s">
        <v>60</v>
      </c>
    </row>
    <row r="49" spans="1:5" ht="15" thickBot="1" x14ac:dyDescent="0.35">
      <c r="A49" s="31">
        <v>1242694</v>
      </c>
      <c r="B49" s="29" t="s">
        <v>61</v>
      </c>
      <c r="C49" s="37">
        <v>0.44</v>
      </c>
      <c r="D49" s="38">
        <v>0.49</v>
      </c>
      <c r="E49" s="16" t="s">
        <v>60</v>
      </c>
    </row>
    <row r="50" spans="1:5" ht="15" thickBot="1" x14ac:dyDescent="0.35">
      <c r="A50" s="31">
        <v>1242694</v>
      </c>
      <c r="B50" s="29" t="s">
        <v>62</v>
      </c>
      <c r="C50" s="37">
        <v>0.46</v>
      </c>
      <c r="D50" s="38">
        <v>0.43</v>
      </c>
      <c r="E50" s="16" t="s">
        <v>60</v>
      </c>
    </row>
    <row r="51" spans="1:5" ht="15" thickBot="1" x14ac:dyDescent="0.35">
      <c r="A51" s="31">
        <v>1242694</v>
      </c>
      <c r="B51" s="29" t="s">
        <v>63</v>
      </c>
      <c r="C51" s="37">
        <v>0.48</v>
      </c>
      <c r="D51" s="38">
        <v>0.45</v>
      </c>
      <c r="E51" s="16" t="s">
        <v>60</v>
      </c>
    </row>
    <row r="52" spans="1:5" ht="15" thickBot="1" x14ac:dyDescent="0.35">
      <c r="A52" s="31">
        <v>1242694</v>
      </c>
      <c r="B52" s="29" t="s">
        <v>65</v>
      </c>
      <c r="C52" s="37">
        <v>0.43</v>
      </c>
      <c r="D52" s="38">
        <v>0.44</v>
      </c>
      <c r="E52" s="16" t="s">
        <v>60</v>
      </c>
    </row>
    <row r="53" spans="1:5" ht="15" thickBot="1" x14ac:dyDescent="0.35">
      <c r="A53" s="31">
        <v>1242694</v>
      </c>
      <c r="B53" s="29" t="s">
        <v>64</v>
      </c>
      <c r="C53" s="37">
        <v>0.39</v>
      </c>
      <c r="D53" s="38">
        <v>0.39</v>
      </c>
      <c r="E53" s="16" t="s">
        <v>60</v>
      </c>
    </row>
    <row r="54" spans="1:5" ht="15" thickBot="1" x14ac:dyDescent="0.35">
      <c r="A54" s="31">
        <v>1242694</v>
      </c>
      <c r="B54" s="29" t="s">
        <v>66</v>
      </c>
      <c r="C54" s="37">
        <v>0.43</v>
      </c>
      <c r="D54" s="38">
        <v>0.4</v>
      </c>
      <c r="E54" s="16" t="s">
        <v>60</v>
      </c>
    </row>
    <row r="55" spans="1:5" ht="15" thickBot="1" x14ac:dyDescent="0.35">
      <c r="A55" s="31">
        <v>1242694</v>
      </c>
      <c r="B55" s="29" t="s">
        <v>67</v>
      </c>
      <c r="C55" s="37">
        <v>0.44</v>
      </c>
      <c r="D55" s="38">
        <v>0.46</v>
      </c>
      <c r="E55" s="16" t="s">
        <v>60</v>
      </c>
    </row>
    <row r="56" spans="1:5" ht="15" thickBot="1" x14ac:dyDescent="0.35">
      <c r="A56" s="31">
        <v>1242694</v>
      </c>
      <c r="B56" s="29" t="s">
        <v>68</v>
      </c>
      <c r="C56" s="37">
        <v>0.44</v>
      </c>
      <c r="D56" s="38">
        <v>0.44</v>
      </c>
      <c r="E56" s="16" t="s">
        <v>60</v>
      </c>
    </row>
    <row r="57" spans="1:5" ht="15" thickBot="1" x14ac:dyDescent="0.35">
      <c r="A57" s="31">
        <v>1242694</v>
      </c>
      <c r="B57" s="29" t="s">
        <v>69</v>
      </c>
      <c r="C57" s="37">
        <v>0.42</v>
      </c>
      <c r="D57" s="38">
        <v>0.46</v>
      </c>
      <c r="E57" s="16" t="s">
        <v>60</v>
      </c>
    </row>
    <row r="58" spans="1:5" ht="15" thickBot="1" x14ac:dyDescent="0.35">
      <c r="A58" s="31">
        <v>1242694</v>
      </c>
      <c r="B58" s="29" t="s">
        <v>70</v>
      </c>
      <c r="C58" s="37">
        <v>0.49</v>
      </c>
      <c r="D58" s="38">
        <v>0.45</v>
      </c>
      <c r="E58" s="16" t="s">
        <v>71</v>
      </c>
    </row>
    <row r="59" spans="1:5" ht="15" thickBot="1" x14ac:dyDescent="0.35">
      <c r="A59" s="31">
        <v>1242694</v>
      </c>
      <c r="B59" s="29" t="s">
        <v>72</v>
      </c>
      <c r="C59" s="37">
        <v>0.47</v>
      </c>
      <c r="D59" s="38">
        <v>0.44</v>
      </c>
      <c r="E59" s="16" t="s">
        <v>71</v>
      </c>
    </row>
    <row r="60" spans="1:5" ht="15" thickBot="1" x14ac:dyDescent="0.35">
      <c r="A60" s="31">
        <v>1252650</v>
      </c>
      <c r="B60" s="29" t="s">
        <v>73</v>
      </c>
      <c r="C60" s="37">
        <v>0.47</v>
      </c>
      <c r="D60" s="38">
        <v>0.43</v>
      </c>
      <c r="E60" s="16" t="s">
        <v>71</v>
      </c>
    </row>
    <row r="61" spans="1:5" ht="15" thickBot="1" x14ac:dyDescent="0.35">
      <c r="A61" s="31">
        <v>1242694</v>
      </c>
      <c r="B61" s="29" t="s">
        <v>74</v>
      </c>
      <c r="C61" s="37">
        <v>0.48</v>
      </c>
      <c r="D61" s="38">
        <v>0.43</v>
      </c>
      <c r="E61" s="16" t="s">
        <v>71</v>
      </c>
    </row>
    <row r="62" spans="1:5" ht="15" thickBot="1" x14ac:dyDescent="0.35">
      <c r="A62" s="31">
        <v>1252650</v>
      </c>
      <c r="B62" s="29" t="s">
        <v>75</v>
      </c>
      <c r="C62" s="37">
        <v>0.52</v>
      </c>
      <c r="D62" s="38">
        <v>0.49</v>
      </c>
      <c r="E62" s="16" t="s">
        <v>71</v>
      </c>
    </row>
    <row r="63" spans="1:5" ht="15" thickBot="1" x14ac:dyDescent="0.35">
      <c r="A63" s="31"/>
      <c r="B63" s="29"/>
      <c r="C63" s="37"/>
      <c r="D63" s="38"/>
      <c r="E63" s="16"/>
    </row>
    <row r="64" spans="1:5" ht="15" thickBot="1" x14ac:dyDescent="0.35">
      <c r="A64" s="31"/>
      <c r="B64" s="29"/>
      <c r="C64" s="37"/>
      <c r="D64" s="38"/>
      <c r="E64" s="16"/>
    </row>
    <row r="65" spans="1:5" ht="15" thickBot="1" x14ac:dyDescent="0.35">
      <c r="A65" s="32"/>
      <c r="B65" s="29"/>
      <c r="C65" s="37"/>
      <c r="D65" s="38"/>
      <c r="E65" s="16"/>
    </row>
    <row r="66" spans="1:5" ht="15" thickBot="1" x14ac:dyDescent="0.35">
      <c r="A66" s="31"/>
      <c r="B66" s="29"/>
      <c r="C66" s="37"/>
      <c r="D66" s="38"/>
      <c r="E66" s="16"/>
    </row>
    <row r="67" spans="1:5" ht="15" thickBot="1" x14ac:dyDescent="0.35">
      <c r="A67" s="31"/>
      <c r="B67" s="29"/>
      <c r="C67" s="37"/>
      <c r="D67" s="38"/>
      <c r="E67" s="16"/>
    </row>
    <row r="68" spans="1:5" ht="15" thickBot="1" x14ac:dyDescent="0.35">
      <c r="A68" s="31"/>
      <c r="B68" s="29"/>
      <c r="C68" s="37"/>
      <c r="D68" s="38"/>
      <c r="E68" s="16"/>
    </row>
    <row r="69" spans="1:5" ht="15" thickBot="1" x14ac:dyDescent="0.35">
      <c r="A69" s="31"/>
      <c r="B69" s="29"/>
      <c r="C69" s="37"/>
      <c r="D69" s="38"/>
      <c r="E69" s="16"/>
    </row>
    <row r="70" spans="1:5" ht="15" thickBot="1" x14ac:dyDescent="0.35">
      <c r="A70" s="31"/>
      <c r="B70" s="29"/>
      <c r="C70" s="37"/>
      <c r="D70" s="38"/>
      <c r="E70" s="16"/>
    </row>
    <row r="71" spans="1:5" ht="15" thickBot="1" x14ac:dyDescent="0.35">
      <c r="A71" s="31"/>
      <c r="B71" s="29"/>
      <c r="C71" s="37"/>
      <c r="D71" s="38"/>
      <c r="E71" s="16"/>
    </row>
    <row r="72" spans="1:5" ht="15" thickBot="1" x14ac:dyDescent="0.35">
      <c r="A72" s="31"/>
      <c r="B72" s="29"/>
      <c r="C72" s="37"/>
      <c r="D72" s="38"/>
      <c r="E72" s="16"/>
    </row>
    <row r="73" spans="1:5" ht="15" thickBot="1" x14ac:dyDescent="0.35">
      <c r="A73" s="31"/>
      <c r="B73" s="29"/>
      <c r="C73" s="37"/>
      <c r="D73" s="38"/>
      <c r="E73" s="16"/>
    </row>
    <row r="74" spans="1:5" ht="15" thickBot="1" x14ac:dyDescent="0.35">
      <c r="A74" s="31"/>
      <c r="B74" s="29"/>
      <c r="C74" s="37"/>
      <c r="D74" s="38"/>
      <c r="E74" s="16"/>
    </row>
    <row r="75" spans="1:5" ht="15" thickBot="1" x14ac:dyDescent="0.35">
      <c r="A75" s="31"/>
      <c r="B75" s="29"/>
      <c r="C75" s="37"/>
      <c r="D75" s="38"/>
      <c r="E75" s="16"/>
    </row>
    <row r="76" spans="1:5" ht="15" thickBot="1" x14ac:dyDescent="0.35">
      <c r="A76" s="31"/>
      <c r="B76" s="29"/>
      <c r="C76" s="37"/>
      <c r="D76" s="38"/>
      <c r="E76" s="16"/>
    </row>
    <row r="77" spans="1:5" ht="15" thickBot="1" x14ac:dyDescent="0.35">
      <c r="A77" s="31"/>
      <c r="B77" s="29"/>
      <c r="C77" s="37"/>
      <c r="D77" s="38"/>
      <c r="E77" s="16"/>
    </row>
    <row r="78" spans="1:5" ht="15" thickBot="1" x14ac:dyDescent="0.35">
      <c r="A78" s="31"/>
      <c r="B78" s="29"/>
      <c r="C78" s="37"/>
      <c r="D78" s="38"/>
      <c r="E78" s="16"/>
    </row>
    <row r="79" spans="1:5" ht="15" thickBot="1" x14ac:dyDescent="0.35">
      <c r="A79" s="31"/>
      <c r="B79" s="29"/>
      <c r="C79" s="37"/>
      <c r="D79" s="38"/>
      <c r="E79" s="16"/>
    </row>
    <row r="80" spans="1:5" ht="15" thickBot="1" x14ac:dyDescent="0.35">
      <c r="A80" s="31"/>
      <c r="B80" s="29"/>
      <c r="C80" s="37"/>
      <c r="D80" s="38"/>
      <c r="E80" s="16"/>
    </row>
    <row r="81" spans="1:5" ht="15" thickBot="1" x14ac:dyDescent="0.35">
      <c r="A81" s="31"/>
      <c r="B81" s="29"/>
      <c r="C81" s="37"/>
      <c r="D81" s="38"/>
      <c r="E81" s="16"/>
    </row>
    <row r="82" spans="1:5" ht="15" thickBot="1" x14ac:dyDescent="0.35">
      <c r="A82" s="31"/>
      <c r="B82" s="29"/>
      <c r="C82" s="37"/>
      <c r="D82" s="38"/>
      <c r="E82" s="16"/>
    </row>
    <row r="83" spans="1:5" ht="15" thickBot="1" x14ac:dyDescent="0.35">
      <c r="A83" s="31"/>
      <c r="B83" s="29"/>
      <c r="C83" s="37"/>
      <c r="D83" s="38"/>
      <c r="E83" s="16"/>
    </row>
    <row r="84" spans="1:5" ht="15" thickBot="1" x14ac:dyDescent="0.35">
      <c r="A84" s="31"/>
      <c r="B84" s="29"/>
      <c r="C84" s="37"/>
      <c r="D84" s="38"/>
      <c r="E84" s="16"/>
    </row>
    <row r="85" spans="1:5" ht="15" thickBot="1" x14ac:dyDescent="0.35">
      <c r="A85" s="31"/>
      <c r="B85" s="29"/>
      <c r="C85" s="37"/>
      <c r="D85" s="38"/>
      <c r="E85" s="16"/>
    </row>
    <row r="86" spans="1:5" ht="15" thickBot="1" x14ac:dyDescent="0.35">
      <c r="A86" s="31"/>
      <c r="B86" s="29"/>
      <c r="C86" s="37"/>
      <c r="D86" s="38"/>
      <c r="E86" s="16"/>
    </row>
    <row r="87" spans="1:5" ht="15" thickBot="1" x14ac:dyDescent="0.35">
      <c r="A87" s="31"/>
      <c r="B87" s="29"/>
      <c r="C87" s="37"/>
      <c r="D87" s="38"/>
      <c r="E87" s="16"/>
    </row>
    <row r="88" spans="1:5" ht="15" thickBot="1" x14ac:dyDescent="0.35">
      <c r="A88" s="31"/>
      <c r="B88" s="29"/>
      <c r="C88" s="37"/>
      <c r="D88" s="38"/>
      <c r="E88" s="16"/>
    </row>
    <row r="89" spans="1:5" ht="15" thickBot="1" x14ac:dyDescent="0.35">
      <c r="A89" s="31"/>
      <c r="B89" s="29"/>
      <c r="C89" s="37"/>
      <c r="D89" s="38"/>
      <c r="E89" s="16"/>
    </row>
    <row r="90" spans="1:5" ht="15" thickBot="1" x14ac:dyDescent="0.35">
      <c r="A90" s="31"/>
      <c r="B90" s="29"/>
      <c r="C90" s="37"/>
      <c r="D90" s="38"/>
      <c r="E90" s="16"/>
    </row>
    <row r="91" spans="1:5" ht="15" thickBot="1" x14ac:dyDescent="0.35">
      <c r="A91" s="31"/>
      <c r="B91" s="29"/>
      <c r="C91" s="37"/>
      <c r="D91" s="38"/>
      <c r="E91" s="16"/>
    </row>
    <row r="92" spans="1:5" ht="15" thickBot="1" x14ac:dyDescent="0.35">
      <c r="A92" s="31"/>
      <c r="B92" s="29"/>
      <c r="C92" s="37"/>
      <c r="D92" s="38"/>
      <c r="E92" s="16"/>
    </row>
    <row r="93" spans="1:5" ht="15" thickBot="1" x14ac:dyDescent="0.35">
      <c r="A93" s="31"/>
      <c r="B93" s="29"/>
      <c r="C93" s="37"/>
      <c r="D93" s="38"/>
      <c r="E93" s="16"/>
    </row>
    <row r="94" spans="1:5" ht="15" thickBot="1" x14ac:dyDescent="0.35">
      <c r="A94" s="31"/>
      <c r="B94" s="29"/>
      <c r="C94" s="37"/>
      <c r="D94" s="38"/>
      <c r="E94" s="16"/>
    </row>
    <row r="95" spans="1:5" ht="15" thickBot="1" x14ac:dyDescent="0.35">
      <c r="A95" s="31"/>
      <c r="B95" s="29"/>
      <c r="C95" s="37"/>
      <c r="D95" s="38"/>
      <c r="E95" s="16"/>
    </row>
    <row r="96" spans="1:5" ht="15" thickBot="1" x14ac:dyDescent="0.35">
      <c r="A96" s="31"/>
      <c r="B96" s="29"/>
      <c r="C96" s="37"/>
      <c r="D96" s="38"/>
      <c r="E96" s="16"/>
    </row>
    <row r="97" spans="1:5" ht="15" thickBot="1" x14ac:dyDescent="0.35">
      <c r="A97" s="31"/>
      <c r="B97" s="29"/>
      <c r="C97" s="37"/>
      <c r="D97" s="38"/>
      <c r="E97" s="16"/>
    </row>
    <row r="98" spans="1:5" ht="15" thickBot="1" x14ac:dyDescent="0.35">
      <c r="A98" s="31"/>
      <c r="B98" s="29"/>
      <c r="C98" s="37"/>
      <c r="D98" s="38"/>
      <c r="E98" s="16"/>
    </row>
    <row r="99" spans="1:5" ht="15" thickBot="1" x14ac:dyDescent="0.35">
      <c r="A99" s="31"/>
      <c r="B99" s="29"/>
      <c r="C99" s="37"/>
      <c r="D99" s="38"/>
      <c r="E99" s="16"/>
    </row>
    <row r="100" spans="1:5" ht="15" thickBot="1" x14ac:dyDescent="0.35">
      <c r="A100" s="31"/>
      <c r="B100" s="29"/>
      <c r="C100" s="37"/>
      <c r="D100" s="38"/>
      <c r="E100" s="16"/>
    </row>
    <row r="101" spans="1:5" ht="15" thickBot="1" x14ac:dyDescent="0.35">
      <c r="A101" s="31"/>
      <c r="B101" s="29"/>
      <c r="C101" s="37"/>
      <c r="D101" s="38"/>
      <c r="E101" s="16"/>
    </row>
    <row r="102" spans="1:5" ht="15" thickBot="1" x14ac:dyDescent="0.35">
      <c r="A102" s="31"/>
      <c r="B102" s="29"/>
      <c r="C102" s="37"/>
      <c r="D102" s="38"/>
      <c r="E102" s="16"/>
    </row>
    <row r="103" spans="1:5" ht="15" thickBot="1" x14ac:dyDescent="0.35">
      <c r="A103" s="31"/>
      <c r="B103" s="29"/>
      <c r="C103" s="37"/>
      <c r="D103" s="38"/>
      <c r="E103" s="16"/>
    </row>
    <row r="104" spans="1:5" ht="15" thickBot="1" x14ac:dyDescent="0.35">
      <c r="A104" s="31"/>
      <c r="B104" s="29"/>
      <c r="C104" s="37"/>
      <c r="D104" s="38"/>
      <c r="E104" s="16"/>
    </row>
    <row r="105" spans="1:5" ht="15" thickBot="1" x14ac:dyDescent="0.35">
      <c r="A105" s="31"/>
      <c r="B105" s="29"/>
      <c r="C105" s="37"/>
      <c r="D105" s="38"/>
      <c r="E105" s="16"/>
    </row>
    <row r="106" spans="1:5" ht="15" thickBot="1" x14ac:dyDescent="0.35">
      <c r="A106" s="31"/>
      <c r="B106" s="29"/>
      <c r="C106" s="37"/>
      <c r="D106" s="38"/>
      <c r="E106" s="16"/>
    </row>
    <row r="107" spans="1:5" ht="15" thickBot="1" x14ac:dyDescent="0.35">
      <c r="A107" s="31"/>
      <c r="B107" s="29"/>
      <c r="C107" s="37"/>
      <c r="D107" s="38"/>
      <c r="E107" s="16"/>
    </row>
    <row r="108" spans="1:5" ht="15" thickBot="1" x14ac:dyDescent="0.35">
      <c r="A108" s="31"/>
      <c r="B108" s="29"/>
      <c r="C108" s="37"/>
      <c r="D108" s="38"/>
      <c r="E108" s="16"/>
    </row>
    <row r="109" spans="1:5" ht="15" thickBot="1" x14ac:dyDescent="0.35">
      <c r="A109" s="31"/>
      <c r="B109" s="29"/>
      <c r="C109" s="37"/>
      <c r="D109" s="38"/>
      <c r="E109" s="16"/>
    </row>
    <row r="110" spans="1:5" ht="15" thickBot="1" x14ac:dyDescent="0.35">
      <c r="A110" s="31"/>
      <c r="B110" s="29"/>
      <c r="C110" s="37"/>
      <c r="D110" s="38"/>
      <c r="E110" s="16"/>
    </row>
    <row r="111" spans="1:5" ht="15" thickBot="1" x14ac:dyDescent="0.35">
      <c r="A111" s="31"/>
      <c r="B111" s="29"/>
      <c r="C111" s="37"/>
      <c r="D111" s="38"/>
      <c r="E111" s="16"/>
    </row>
    <row r="112" spans="1:5" ht="15" thickBot="1" x14ac:dyDescent="0.35">
      <c r="A112" s="31"/>
      <c r="B112" s="29"/>
      <c r="C112" s="37"/>
      <c r="D112" s="38"/>
      <c r="E112" s="16"/>
    </row>
    <row r="113" spans="1:5" ht="15" thickBot="1" x14ac:dyDescent="0.35">
      <c r="A113" s="31"/>
      <c r="B113" s="29"/>
      <c r="C113" s="37"/>
      <c r="D113" s="38"/>
      <c r="E113" s="16"/>
    </row>
    <row r="114" spans="1:5" ht="15" thickBot="1" x14ac:dyDescent="0.35">
      <c r="A114" s="31"/>
      <c r="B114" s="29"/>
      <c r="C114" s="37"/>
      <c r="D114" s="38"/>
      <c r="E114" s="16"/>
    </row>
    <row r="115" spans="1:5" ht="15" thickBot="1" x14ac:dyDescent="0.35">
      <c r="A115" s="31"/>
      <c r="B115" s="29"/>
      <c r="C115" s="37"/>
      <c r="D115" s="38"/>
      <c r="E115" s="16"/>
    </row>
    <row r="116" spans="1:5" ht="15" thickBot="1" x14ac:dyDescent="0.35">
      <c r="A116" s="31"/>
      <c r="B116" s="29"/>
      <c r="C116" s="37"/>
      <c r="D116" s="38"/>
      <c r="E116" s="16"/>
    </row>
    <row r="117" spans="1:5" ht="15" thickBot="1" x14ac:dyDescent="0.35">
      <c r="A117" s="31"/>
      <c r="B117" s="29"/>
      <c r="C117" s="37"/>
      <c r="D117" s="38"/>
      <c r="E117" s="16"/>
    </row>
    <row r="118" spans="1:5" ht="15" thickBot="1" x14ac:dyDescent="0.35">
      <c r="A118" s="31"/>
      <c r="B118" s="29"/>
      <c r="C118" s="37"/>
      <c r="D118" s="38"/>
      <c r="E118" s="16"/>
    </row>
    <row r="119" spans="1:5" ht="15" thickBot="1" x14ac:dyDescent="0.35">
      <c r="A119" s="31"/>
      <c r="B119" s="29"/>
      <c r="C119" s="37"/>
      <c r="D119" s="38"/>
      <c r="E119" s="16"/>
    </row>
    <row r="120" spans="1:5" ht="15" thickBot="1" x14ac:dyDescent="0.35">
      <c r="A120" s="31"/>
      <c r="B120" s="29"/>
      <c r="C120" s="37"/>
      <c r="D120" s="38"/>
      <c r="E120" s="16"/>
    </row>
    <row r="121" spans="1:5" ht="15" thickBot="1" x14ac:dyDescent="0.35">
      <c r="A121" s="31"/>
      <c r="B121" s="29"/>
      <c r="C121" s="37"/>
      <c r="D121" s="38"/>
      <c r="E121" s="16"/>
    </row>
    <row r="122" spans="1:5" ht="15" thickBot="1" x14ac:dyDescent="0.35">
      <c r="A122" s="31"/>
      <c r="B122" s="29"/>
      <c r="C122" s="37"/>
      <c r="D122" s="38"/>
      <c r="E122" s="16"/>
    </row>
    <row r="123" spans="1:5" ht="15" thickBot="1" x14ac:dyDescent="0.35">
      <c r="A123" s="31"/>
      <c r="B123" s="29"/>
      <c r="C123" s="37"/>
      <c r="D123" s="38"/>
      <c r="E123" s="16"/>
    </row>
    <row r="124" spans="1:5" ht="15" thickBot="1" x14ac:dyDescent="0.35">
      <c r="A124" s="31"/>
      <c r="B124" s="29"/>
      <c r="C124" s="37"/>
      <c r="D124" s="38"/>
      <c r="E124" s="16"/>
    </row>
    <row r="125" spans="1:5" ht="15" thickBot="1" x14ac:dyDescent="0.35">
      <c r="A125" s="31"/>
      <c r="B125" s="29"/>
      <c r="C125" s="37"/>
      <c r="D125" s="38"/>
      <c r="E125" s="16"/>
    </row>
    <row r="126" spans="1:5" ht="15" thickBot="1" x14ac:dyDescent="0.35">
      <c r="A126" s="31"/>
      <c r="B126" s="29"/>
      <c r="C126" s="37"/>
      <c r="D126" s="38"/>
      <c r="E126" s="16"/>
    </row>
    <row r="127" spans="1:5" ht="15" thickBot="1" x14ac:dyDescent="0.35">
      <c r="A127" s="31"/>
      <c r="B127" s="29"/>
      <c r="C127" s="37"/>
      <c r="D127" s="38"/>
      <c r="E127" s="16"/>
    </row>
    <row r="128" spans="1:5" ht="15" thickBot="1" x14ac:dyDescent="0.35">
      <c r="A128" s="31"/>
      <c r="B128" s="29"/>
      <c r="C128" s="37"/>
      <c r="D128" s="38"/>
      <c r="E128" s="16"/>
    </row>
    <row r="129" spans="1:5" ht="15" thickBot="1" x14ac:dyDescent="0.35">
      <c r="A129" s="31"/>
      <c r="B129" s="29"/>
      <c r="C129" s="37"/>
      <c r="D129" s="38"/>
      <c r="E129" s="16"/>
    </row>
    <row r="130" spans="1:5" ht="15" thickBot="1" x14ac:dyDescent="0.35">
      <c r="A130" s="31"/>
      <c r="B130" s="29"/>
      <c r="C130" s="37"/>
      <c r="D130" s="38"/>
      <c r="E130" s="16"/>
    </row>
    <row r="131" spans="1:5" ht="15" thickBot="1" x14ac:dyDescent="0.35">
      <c r="A131" s="31"/>
      <c r="B131" s="29"/>
      <c r="C131" s="37"/>
      <c r="D131" s="38"/>
      <c r="E131" s="16"/>
    </row>
    <row r="132" spans="1:5" ht="15" thickBot="1" x14ac:dyDescent="0.35">
      <c r="A132" s="31"/>
      <c r="B132" s="29"/>
      <c r="C132" s="37"/>
      <c r="D132" s="38"/>
      <c r="E132" s="16"/>
    </row>
    <row r="133" spans="1:5" ht="15" thickBot="1" x14ac:dyDescent="0.35">
      <c r="A133" s="31"/>
      <c r="B133" s="29"/>
      <c r="C133" s="37"/>
      <c r="D133" s="38"/>
      <c r="E133" s="16"/>
    </row>
    <row r="134" spans="1:5" ht="15" thickBot="1" x14ac:dyDescent="0.35">
      <c r="A134" s="31"/>
      <c r="B134" s="29"/>
      <c r="C134" s="37"/>
      <c r="D134" s="38"/>
      <c r="E134" s="16"/>
    </row>
    <row r="135" spans="1:5" ht="15" thickBot="1" x14ac:dyDescent="0.35">
      <c r="A135" s="31"/>
      <c r="B135" s="29"/>
      <c r="C135" s="37"/>
      <c r="D135" s="38"/>
      <c r="E135" s="16"/>
    </row>
    <row r="136" spans="1:5" ht="15" thickBot="1" x14ac:dyDescent="0.35">
      <c r="A136" s="31"/>
      <c r="B136" s="29"/>
      <c r="C136" s="37"/>
      <c r="D136" s="38"/>
      <c r="E136" s="16"/>
    </row>
    <row r="137" spans="1:5" ht="15" thickBot="1" x14ac:dyDescent="0.35">
      <c r="A137" s="31"/>
      <c r="B137" s="29"/>
      <c r="C137" s="37"/>
      <c r="D137" s="38"/>
      <c r="E137" s="16"/>
    </row>
    <row r="138" spans="1:5" ht="15" thickBot="1" x14ac:dyDescent="0.35">
      <c r="A138" s="31"/>
      <c r="B138" s="29"/>
      <c r="C138" s="37"/>
      <c r="D138" s="38"/>
      <c r="E138" s="16"/>
    </row>
    <row r="139" spans="1:5" ht="15" thickBot="1" x14ac:dyDescent="0.35">
      <c r="A139" s="31"/>
      <c r="B139" s="29"/>
      <c r="C139" s="37"/>
      <c r="D139" s="38"/>
      <c r="E139" s="16"/>
    </row>
    <row r="140" spans="1:5" ht="15" thickBot="1" x14ac:dyDescent="0.35">
      <c r="A140" s="31"/>
      <c r="B140" s="29"/>
      <c r="C140" s="37"/>
      <c r="D140" s="38"/>
      <c r="E140" s="16"/>
    </row>
    <row r="141" spans="1:5" ht="15" thickBot="1" x14ac:dyDescent="0.35">
      <c r="A141" s="31"/>
      <c r="B141" s="29"/>
      <c r="C141" s="37"/>
      <c r="D141" s="38"/>
      <c r="E141" s="16"/>
    </row>
    <row r="142" spans="1:5" ht="15" thickBot="1" x14ac:dyDescent="0.35">
      <c r="A142" s="31"/>
      <c r="B142" s="29"/>
      <c r="C142" s="37"/>
      <c r="D142" s="38"/>
      <c r="E142" s="16"/>
    </row>
    <row r="143" spans="1:5" ht="15" thickBot="1" x14ac:dyDescent="0.35">
      <c r="A143" s="31"/>
      <c r="B143" s="29"/>
      <c r="C143" s="37"/>
      <c r="D143" s="38"/>
      <c r="E143" s="16"/>
    </row>
    <row r="144" spans="1:5" ht="15" thickBot="1" x14ac:dyDescent="0.35">
      <c r="A144" s="31"/>
      <c r="B144" s="29"/>
      <c r="C144" s="37"/>
      <c r="D144" s="38"/>
      <c r="E144" s="16"/>
    </row>
    <row r="145" spans="1:5" ht="15" thickBot="1" x14ac:dyDescent="0.35">
      <c r="A145" s="31"/>
      <c r="B145" s="29"/>
      <c r="C145" s="37"/>
      <c r="D145" s="38"/>
      <c r="E145" s="16"/>
    </row>
    <row r="146" spans="1:5" ht="15" thickBot="1" x14ac:dyDescent="0.35">
      <c r="A146" s="31"/>
      <c r="B146" s="29"/>
      <c r="C146" s="37"/>
      <c r="D146" s="38"/>
      <c r="E146" s="16"/>
    </row>
    <row r="147" spans="1:5" ht="15" thickBot="1" x14ac:dyDescent="0.35">
      <c r="A147" s="31"/>
      <c r="B147" s="29"/>
      <c r="C147" s="37"/>
      <c r="D147" s="38"/>
      <c r="E147" s="16"/>
    </row>
    <row r="148" spans="1:5" ht="15" thickBot="1" x14ac:dyDescent="0.35">
      <c r="A148" s="31"/>
      <c r="B148" s="29"/>
      <c r="C148" s="37"/>
      <c r="D148" s="38"/>
      <c r="E148" s="16"/>
    </row>
    <row r="149" spans="1:5" ht="15" thickBot="1" x14ac:dyDescent="0.35">
      <c r="A149" s="31"/>
      <c r="B149" s="29"/>
      <c r="C149" s="37"/>
      <c r="D149" s="38"/>
      <c r="E149" s="16"/>
    </row>
    <row r="150" spans="1:5" ht="15" thickBot="1" x14ac:dyDescent="0.35">
      <c r="A150" s="31"/>
      <c r="B150" s="29"/>
      <c r="C150" s="37"/>
      <c r="D150" s="38"/>
      <c r="E150" s="16"/>
    </row>
    <row r="151" spans="1:5" ht="15" thickBot="1" x14ac:dyDescent="0.35">
      <c r="A151" s="31"/>
      <c r="B151" s="29"/>
      <c r="C151" s="37"/>
      <c r="D151" s="38"/>
      <c r="E151" s="16"/>
    </row>
    <row r="152" spans="1:5" ht="15" thickBot="1" x14ac:dyDescent="0.35">
      <c r="A152" s="31"/>
      <c r="B152" s="29"/>
      <c r="C152" s="37"/>
      <c r="D152" s="38"/>
      <c r="E152" s="16"/>
    </row>
    <row r="153" spans="1:5" ht="15" thickBot="1" x14ac:dyDescent="0.35">
      <c r="A153" s="31"/>
      <c r="B153" s="29"/>
      <c r="C153" s="37"/>
      <c r="D153" s="38"/>
      <c r="E153" s="16"/>
    </row>
    <row r="154" spans="1:5" ht="15" thickBot="1" x14ac:dyDescent="0.35">
      <c r="A154" s="31"/>
      <c r="B154" s="29"/>
      <c r="C154" s="37"/>
      <c r="D154" s="38"/>
      <c r="E154" s="16"/>
    </row>
    <row r="155" spans="1:5" ht="15" thickBot="1" x14ac:dyDescent="0.35">
      <c r="A155" s="31"/>
      <c r="B155" s="29"/>
      <c r="C155" s="37"/>
      <c r="D155" s="38"/>
      <c r="E155" s="16"/>
    </row>
    <row r="156" spans="1:5" ht="15" thickBot="1" x14ac:dyDescent="0.35">
      <c r="A156" s="31"/>
      <c r="B156" s="29"/>
      <c r="C156" s="37"/>
      <c r="D156" s="38"/>
      <c r="E156" s="16"/>
    </row>
    <row r="157" spans="1:5" ht="15" thickBot="1" x14ac:dyDescent="0.35">
      <c r="A157" s="31"/>
      <c r="B157" s="29"/>
      <c r="C157" s="37"/>
      <c r="D157" s="38"/>
      <c r="E157" s="16"/>
    </row>
    <row r="158" spans="1:5" ht="15" thickBot="1" x14ac:dyDescent="0.35">
      <c r="A158" s="31"/>
      <c r="B158" s="29"/>
      <c r="C158" s="37"/>
      <c r="D158" s="38"/>
      <c r="E158" s="16"/>
    </row>
    <row r="159" spans="1:5" ht="15" thickBot="1" x14ac:dyDescent="0.35">
      <c r="A159" s="31"/>
      <c r="B159" s="29"/>
      <c r="C159" s="37"/>
      <c r="D159" s="38"/>
      <c r="E159" s="16"/>
    </row>
    <row r="160" spans="1:5" ht="15" thickBot="1" x14ac:dyDescent="0.35">
      <c r="A160" s="33"/>
      <c r="B160" s="29"/>
      <c r="C160" s="37"/>
      <c r="D160" s="38"/>
      <c r="E160" s="17"/>
    </row>
    <row r="162" spans="1:1" x14ac:dyDescent="0.3">
      <c r="A162" t="s">
        <v>16</v>
      </c>
    </row>
  </sheetData>
  <sheetProtection algorithmName="SHA-512" hashValue="M24TAWe/xVL3BQe/31rEde3TdNbM7cfCxxRzS86NjbtTPB9KoDKlxAn5RBk82MuOGu6KZc4MyspXc8wejncKng==" saltValue="JCUSXC0fAFfjWNF6SrUbQg==" spinCount="100000" sheet="1" objects="1" scenarios="1"/>
  <mergeCells count="2">
    <mergeCell ref="C8:D8"/>
    <mergeCell ref="C9:D9"/>
  </mergeCells>
  <phoneticPr fontId="6" type="noConversion"/>
  <conditionalFormatting sqref="C11:D11">
    <cfRule type="cellIs" dxfId="2" priority="6" operator="greaterThan">
      <formula>0.6</formula>
    </cfRule>
  </conditionalFormatting>
  <conditionalFormatting sqref="C12:D12">
    <cfRule type="cellIs" dxfId="1" priority="4" operator="equal">
      <formula>0</formula>
    </cfRule>
    <cfRule type="cellIs" dxfId="0" priority="5" operator="lessThan">
      <formula>0.3</formula>
    </cfRule>
  </conditionalFormatting>
  <pageMargins left="0.70866141732283472" right="0.70866141732283472" top="0.78740157480314965" bottom="0.78740157480314965" header="0.31496062992125984" footer="0.31496062992125984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AEC7-C271-4432-BFF2-74BDB2AC8E67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Tabelle1!Drucktitel</vt:lpstr>
    </vt:vector>
  </TitlesOfParts>
  <Company>QuestAlpha GmbH und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Rüther, Susanne</dc:creator>
  <cp:lastModifiedBy>Sugi.4</cp:lastModifiedBy>
  <cp:lastPrinted>2025-04-07T09:14:57Z</cp:lastPrinted>
  <dcterms:created xsi:type="dcterms:W3CDTF">2023-05-23T07:43:37Z</dcterms:created>
  <dcterms:modified xsi:type="dcterms:W3CDTF">2026-04-01T06:22:26Z</dcterms:modified>
</cp:coreProperties>
</file>