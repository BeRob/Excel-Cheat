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X:\Produktion\1_Artikel\1_Marke\31962\IPC_Etiketten_Packliste\"/>
    </mc:Choice>
  </mc:AlternateContent>
  <xr:revisionPtr revIDLastSave="0" documentId="13_ncr:1_{1C28000D-9409-4261-95F3-C19D061489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externalReferences>
    <externalReference r:id="rId2"/>
  </externalReferences>
  <definedNames>
    <definedName name="_xlnm._FilterDatabase" localSheetId="0" hidden="1">Tabelle1!$A$12:$H$126</definedName>
    <definedName name="_xlnm.Print_Area" localSheetId="0">Tabelle1!$A$1:$H$48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F11" i="1"/>
  <c r="F10" i="1"/>
  <c r="B5" i="1"/>
  <c r="B4" i="1"/>
</calcChain>
</file>

<file path=xl/sharedStrings.xml><?xml version="1.0" encoding="utf-8"?>
<sst xmlns="http://schemas.openxmlformats.org/spreadsheetml/2006/main" count="166" uniqueCount="50">
  <si>
    <t>LOT Nr.</t>
  </si>
  <si>
    <t>Rollen Nr.</t>
  </si>
  <si>
    <t>Datum, Unterschrift</t>
  </si>
  <si>
    <t>LOT:</t>
  </si>
  <si>
    <t>Min</t>
  </si>
  <si>
    <t>Max</t>
  </si>
  <si>
    <t>Mittelwert</t>
  </si>
  <si>
    <t>-</t>
  </si>
  <si>
    <t>Nutzen</t>
  </si>
  <si>
    <t>Schälspalt
 oben /unten</t>
  </si>
  <si>
    <t>Prüfmittel:</t>
  </si>
  <si>
    <t>IPC Schälen</t>
  </si>
  <si>
    <t>REF 31962</t>
  </si>
  <si>
    <t xml:space="preserve">Sugi Instrument Wipe, 80x80mm, none-sterile, 250 pcs. </t>
  </si>
  <si>
    <t>Flächengewicht: 
150 (130 - 170) g/m²</t>
  </si>
  <si>
    <t>(Richtwerte Schälspalt: -- Nutzen 1: 1,8/0,6 -- Nutzen 2: 1,8/0,9 -- Nutzen 3: 0,9/0,8)</t>
  </si>
  <si>
    <t>VD:</t>
  </si>
  <si>
    <t>Bemerkungen</t>
  </si>
  <si>
    <t xml:space="preserve"> </t>
  </si>
  <si>
    <t>23.03.2026 Franz</t>
  </si>
  <si>
    <t>XSR105</t>
  </si>
  <si>
    <t>49B/B1</t>
  </si>
  <si>
    <t>49B/B2</t>
  </si>
  <si>
    <t>280C/B1</t>
  </si>
  <si>
    <t>280C/B2</t>
  </si>
  <si>
    <t>252C/B1</t>
  </si>
  <si>
    <t>252C/B2</t>
  </si>
  <si>
    <t>248C/B1</t>
  </si>
  <si>
    <t>248C/B2</t>
  </si>
  <si>
    <t>172D</t>
  </si>
  <si>
    <t>25.03.2026  Otto</t>
  </si>
  <si>
    <t>185B/B1</t>
  </si>
  <si>
    <t>185B/B2</t>
  </si>
  <si>
    <t>25.03.2026 Otto</t>
  </si>
  <si>
    <t>184B/B1</t>
  </si>
  <si>
    <t>184B/B2</t>
  </si>
  <si>
    <t>182B/B1</t>
  </si>
  <si>
    <t>182B/B2</t>
  </si>
  <si>
    <t>187 B/B1</t>
  </si>
  <si>
    <t>27.03.2026 Franz</t>
  </si>
  <si>
    <t>187 B/B2</t>
  </si>
  <si>
    <t>27.03.2026 Weitzel</t>
  </si>
  <si>
    <t>188 B/B1</t>
  </si>
  <si>
    <t>188 B/B2</t>
  </si>
  <si>
    <t>186 B/B1</t>
  </si>
  <si>
    <t>186 B/B2</t>
  </si>
  <si>
    <t>189 B/B1</t>
  </si>
  <si>
    <t>189 B/B2</t>
  </si>
  <si>
    <t>183 B/B2</t>
  </si>
  <si>
    <t>183 B/B1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</si>
</sst>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2"/>
      <color theme="1"/>
      <name val="Verdana"/>
      <family val="2"/>
    </font>
    <font>
      <b/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3" fillId="0" borderId="0" xfId="0" applyFont="1"/>
    <xf numFmtId="164" fontId="3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5" fillId="0" borderId="0" xfId="0" applyFont="1"/>
    <xf numFmtId="1" fontId="0" fillId="2" borderId="12" xfId="0" applyNumberForma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left"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3" fillId="0" borderId="0" xfId="0" applyFont="1" applyAlignment="1">
      <alignment horizontal="right"/>
    </xf>
    <xf numFmtId="0" fontId="0" fillId="0" borderId="0" xfId="0" applyProtection="1">
      <protection locked="0"/>
    </xf>
    <xf numFmtId="164" fontId="3" fillId="0" borderId="0" xfId="0" applyNumberFormat="1" applyFont="1" applyAlignment="1">
      <alignment horizontal="right"/>
    </xf>
    <xf numFmtId="0" fontId="4" fillId="0" borderId="14" xfId="0" applyFont="1" applyBorder="1" applyAlignment="1" applyProtection="1">
      <alignment horizontal="center" vertical="center"/>
      <protection locked="0"/>
    </xf>
    <xf numFmtId="0" fontId="4" fillId="0" borderId="23" xfId="0" applyFont="1" applyBorder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" vertical="center"/>
      <protection locked="0"/>
    </xf>
    <xf numFmtId="1" fontId="0" fillId="0" borderId="5" xfId="0" applyNumberFormat="1" applyBorder="1" applyAlignment="1" applyProtection="1">
      <alignment horizontal="center"/>
      <protection locked="0"/>
    </xf>
    <xf numFmtId="1" fontId="0" fillId="0" borderId="8" xfId="0" applyNumberFormat="1" applyBorder="1" applyAlignment="1" applyProtection="1">
      <alignment horizontal="center"/>
      <protection locked="0"/>
    </xf>
    <xf numFmtId="165" fontId="0" fillId="0" borderId="13" xfId="0" applyNumberFormat="1" applyBorder="1" applyAlignment="1" applyProtection="1">
      <alignment horizontal="center"/>
      <protection locked="0"/>
    </xf>
    <xf numFmtId="165" fontId="0" fillId="0" borderId="1" xfId="0" applyNumberFormat="1" applyBorder="1" applyAlignment="1" applyProtection="1">
      <alignment horizontal="center"/>
      <protection locked="0"/>
    </xf>
    <xf numFmtId="165" fontId="0" fillId="0" borderId="21" xfId="0" applyNumberFormat="1" applyBorder="1" applyAlignment="1" applyProtection="1">
      <alignment horizontal="center"/>
      <protection locked="0"/>
    </xf>
    <xf numFmtId="165" fontId="0" fillId="0" borderId="4" xfId="0" applyNumberFormat="1" applyBorder="1" applyAlignment="1" applyProtection="1">
      <alignment horizontal="center"/>
      <protection locked="0"/>
    </xf>
    <xf numFmtId="0" fontId="0" fillId="2" borderId="24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27" xfId="0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20" xfId="0" applyNumberFormat="1" applyFill="1" applyBorder="1" applyAlignment="1">
      <alignment horizontal="center" vertical="center"/>
    </xf>
    <xf numFmtId="0" fontId="0" fillId="0" borderId="0" xfId="0" applyAlignment="1" applyProtection="1">
      <alignment horizontal="right"/>
      <protection locked="0"/>
    </xf>
    <xf numFmtId="0" fontId="0" fillId="0" borderId="27" xfId="0" applyBorder="1" applyAlignment="1" applyProtection="1">
      <alignment horizontal="center" vertical="center"/>
      <protection locked="0"/>
    </xf>
    <xf numFmtId="165" fontId="0" fillId="0" borderId="22" xfId="0" applyNumberFormat="1" applyBorder="1" applyAlignment="1" applyProtection="1">
      <alignment horizontal="center"/>
      <protection locked="0"/>
    </xf>
    <xf numFmtId="165" fontId="0" fillId="0" borderId="2" xfId="0" applyNumberFormat="1" applyBorder="1" applyAlignment="1" applyProtection="1">
      <alignment horizontal="center"/>
      <protection locked="0"/>
    </xf>
    <xf numFmtId="1" fontId="0" fillId="0" borderId="6" xfId="0" applyNumberFormat="1" applyBorder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0" fontId="0" fillId="0" borderId="28" xfId="0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 vertic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14" fontId="0" fillId="0" borderId="27" xfId="0" applyNumberForma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7" fillId="0" borderId="0" xfId="0" applyFont="1" applyAlignment="1">
      <alignment horizontal="center" vertical="center"/>
    </xf>
    <xf numFmtId="14" fontId="0" fillId="0" borderId="14" xfId="0" applyNumberFormat="1" applyBorder="1" applyAlignment="1" applyProtection="1">
      <alignment horizontal="center" vertical="center"/>
      <protection locked="0"/>
    </xf>
    <xf numFmtId="14" fontId="0" fillId="0" borderId="16" xfId="0" applyNumberFormat="1" applyBorder="1" applyAlignment="1" applyProtection="1">
      <alignment horizontal="center" vertical="center"/>
      <protection locked="0"/>
    </xf>
    <xf numFmtId="0" fontId="4" fillId="0" borderId="14" xfId="0" applyFont="1" applyBorder="1" applyAlignment="1" applyProtection="1">
      <alignment horizontal="center" vertical="center"/>
      <protection locked="0"/>
    </xf>
    <xf numFmtId="0" fontId="4" fillId="0" borderId="23" xfId="0" applyFont="1" applyBorder="1" applyAlignment="1" applyProtection="1">
      <alignment horizontal="center" vertical="center"/>
      <protection locked="0"/>
    </xf>
    <xf numFmtId="0" fontId="4" fillId="0" borderId="15" xfId="0" applyFont="1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5" xfId="0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</cellXfs>
  <cellStyles count="1">
    <cellStyle name="Standard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Produktion\1_Artikel\1_Marke\31962\IPC_Etiketten_Packliste\Vorlage%20Etikett.xlsx" TargetMode="External"/><Relationship Id="rId1" Type="http://schemas.openxmlformats.org/officeDocument/2006/relationships/externalLinkPath" Target="Vorlage%20Etike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1"/>
      <sheetName val="Tabelle2"/>
      <sheetName val="Tabelle3"/>
    </sheetNames>
    <sheetDataSet>
      <sheetData sheetId="0">
        <row r="2">
          <cell r="A2" t="str">
            <v>2031-02-28</v>
          </cell>
          <cell r="B2">
            <v>265321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5"/>
  <sheetViews>
    <sheetView tabSelected="1" topLeftCell="A55" zoomScaleNormal="100" workbookViewId="0">
      <selection activeCell="F86" sqref="F86"/>
    </sheetView>
  </sheetViews>
  <sheetFormatPr baseColWidth="10" defaultColWidth="9.140625" defaultRowHeight="15" x14ac:dyDescent="0.25"/>
  <cols>
    <col min="1" max="1" width="13.140625" customWidth="1"/>
    <col min="2" max="2" width="11.42578125" customWidth="1"/>
    <col min="3" max="3" width="8.28515625" customWidth="1"/>
    <col min="4" max="5" width="14.7109375" customWidth="1"/>
    <col min="6" max="6" width="21" customWidth="1"/>
    <col min="7" max="7" width="29.140625" style="52" customWidth="1"/>
    <col min="8" max="8" width="51.7109375" bestFit="1" customWidth="1"/>
  </cols>
  <sheetData>
    <row r="1" spans="1:16" x14ac:dyDescent="0.25">
      <c r="A1" s="1" t="s">
        <v>12</v>
      </c>
    </row>
    <row r="2" spans="1:16" x14ac:dyDescent="0.25">
      <c r="A2" s="1" t="s">
        <v>13</v>
      </c>
    </row>
    <row r="3" spans="1:16" x14ac:dyDescent="0.25">
      <c r="A3" s="1"/>
    </row>
    <row r="4" spans="1:16" ht="15.75" x14ac:dyDescent="0.25">
      <c r="A4" s="1" t="s">
        <v>3</v>
      </c>
      <c r="B4" s="18">
        <f>[1]Tabelle1!$B$2</f>
        <v>265321</v>
      </c>
      <c r="C4" s="2"/>
      <c r="D4" s="2"/>
      <c r="E4" s="22" t="s">
        <v>10</v>
      </c>
      <c r="F4" s="41" t="s">
        <v>20</v>
      </c>
      <c r="G4" s="53" t="s">
        <v>19</v>
      </c>
      <c r="H4" s="23"/>
    </row>
    <row r="5" spans="1:16" ht="15.75" x14ac:dyDescent="0.25">
      <c r="A5" s="1" t="s">
        <v>16</v>
      </c>
      <c r="B5" s="19" t="str">
        <f>[1]Tabelle1!$A$2</f>
        <v>2031-02-28</v>
      </c>
      <c r="C5" s="3"/>
      <c r="D5" s="3"/>
      <c r="E5" s="24"/>
      <c r="F5" s="3"/>
      <c r="G5" s="53"/>
      <c r="H5" s="23"/>
    </row>
    <row r="6" spans="1:16" x14ac:dyDescent="0.25">
      <c r="A6" s="1"/>
      <c r="B6" s="3"/>
      <c r="C6" s="3"/>
      <c r="D6" s="3"/>
      <c r="E6" s="22"/>
      <c r="F6" s="3"/>
    </row>
    <row r="7" spans="1:16" ht="16.5" thickBot="1" x14ac:dyDescent="0.3">
      <c r="A7" s="10" t="s">
        <v>11</v>
      </c>
      <c r="D7" s="21" t="s">
        <v>15</v>
      </c>
      <c r="E7" s="20"/>
      <c r="F7" s="20"/>
      <c r="G7" s="54"/>
    </row>
    <row r="8" spans="1:16" ht="15" customHeight="1" x14ac:dyDescent="0.25">
      <c r="A8" s="71" t="s">
        <v>0</v>
      </c>
      <c r="B8" s="73" t="s">
        <v>1</v>
      </c>
      <c r="C8" s="63" t="s">
        <v>8</v>
      </c>
      <c r="D8" s="65" t="s">
        <v>9</v>
      </c>
      <c r="E8" s="66"/>
      <c r="F8" s="69" t="s">
        <v>14</v>
      </c>
      <c r="G8" s="63" t="s">
        <v>2</v>
      </c>
      <c r="H8" s="75" t="s">
        <v>17</v>
      </c>
    </row>
    <row r="9" spans="1:16" ht="15.75" thickBot="1" x14ac:dyDescent="0.3">
      <c r="A9" s="72"/>
      <c r="B9" s="74"/>
      <c r="C9" s="64"/>
      <c r="D9" s="67"/>
      <c r="E9" s="68"/>
      <c r="F9" s="70"/>
      <c r="G9" s="64"/>
      <c r="H9" s="76"/>
    </row>
    <row r="10" spans="1:16" x14ac:dyDescent="0.25">
      <c r="A10" s="6" t="s">
        <v>4</v>
      </c>
      <c r="B10" s="4" t="s">
        <v>7</v>
      </c>
      <c r="C10" s="4" t="s">
        <v>7</v>
      </c>
      <c r="D10" s="8" t="s">
        <v>7</v>
      </c>
      <c r="E10" s="8" t="s">
        <v>7</v>
      </c>
      <c r="F10" s="39">
        <f>MIN(F13:F126)</f>
        <v>132</v>
      </c>
      <c r="G10" s="8" t="s">
        <v>7</v>
      </c>
      <c r="H10" s="34" t="s">
        <v>7</v>
      </c>
    </row>
    <row r="11" spans="1:16" x14ac:dyDescent="0.25">
      <c r="A11" s="7" t="s">
        <v>6</v>
      </c>
      <c r="B11" s="5" t="s">
        <v>7</v>
      </c>
      <c r="C11" s="5" t="s">
        <v>7</v>
      </c>
      <c r="D11" s="9" t="s">
        <v>7</v>
      </c>
      <c r="E11" s="9" t="s">
        <v>7</v>
      </c>
      <c r="F11" s="11">
        <f>SUBTOTAL(1,F13:F126)</f>
        <v>160.65384615384616</v>
      </c>
      <c r="G11" s="9" t="s">
        <v>7</v>
      </c>
      <c r="H11" s="35" t="s">
        <v>7</v>
      </c>
    </row>
    <row r="12" spans="1:16" ht="15.75" thickBot="1" x14ac:dyDescent="0.3">
      <c r="A12" s="12" t="s">
        <v>5</v>
      </c>
      <c r="B12" s="13" t="s">
        <v>7</v>
      </c>
      <c r="C12" s="13" t="s">
        <v>7</v>
      </c>
      <c r="D12" s="14" t="s">
        <v>7</v>
      </c>
      <c r="E12" s="14" t="s">
        <v>7</v>
      </c>
      <c r="F12" s="40">
        <f>MAX(F13:F126)</f>
        <v>170</v>
      </c>
      <c r="G12" s="14" t="s">
        <v>7</v>
      </c>
      <c r="H12" s="36" t="s">
        <v>7</v>
      </c>
    </row>
    <row r="13" spans="1:16" ht="15.75" thickBot="1" x14ac:dyDescent="0.3">
      <c r="A13" s="57">
        <v>1242676</v>
      </c>
      <c r="B13" s="60" t="s">
        <v>21</v>
      </c>
      <c r="C13" s="15">
        <v>1</v>
      </c>
      <c r="D13" s="30">
        <v>2.2000000000000002</v>
      </c>
      <c r="E13" s="31">
        <v>0.2</v>
      </c>
      <c r="F13" s="28">
        <v>152</v>
      </c>
      <c r="G13" s="55" t="s">
        <v>19</v>
      </c>
      <c r="H13" s="38"/>
      <c r="I13" s="23"/>
      <c r="J13" s="23"/>
      <c r="K13" s="23"/>
      <c r="L13" s="23"/>
      <c r="M13" s="23"/>
      <c r="N13" s="23"/>
      <c r="O13" s="23"/>
      <c r="P13" s="23"/>
    </row>
    <row r="14" spans="1:16" ht="15.75" thickBot="1" x14ac:dyDescent="0.3">
      <c r="A14" s="58"/>
      <c r="B14" s="61"/>
      <c r="C14" s="16">
        <v>2</v>
      </c>
      <c r="D14" s="32">
        <v>1.8</v>
      </c>
      <c r="E14" s="33">
        <v>0.5</v>
      </c>
      <c r="F14" s="29">
        <v>155</v>
      </c>
      <c r="G14" s="55" t="s">
        <v>19</v>
      </c>
      <c r="H14" s="38"/>
      <c r="I14" s="23"/>
      <c r="J14" s="23"/>
      <c r="K14" s="23"/>
      <c r="L14" s="23"/>
      <c r="M14" s="23"/>
      <c r="N14" s="23"/>
      <c r="O14" s="23"/>
      <c r="P14" s="23"/>
    </row>
    <row r="15" spans="1:16" ht="15.75" thickBot="1" x14ac:dyDescent="0.3">
      <c r="A15" s="59"/>
      <c r="B15" s="62"/>
      <c r="C15" s="17">
        <v>3</v>
      </c>
      <c r="D15" s="42" t="s">
        <v>7</v>
      </c>
      <c r="E15" s="42" t="s">
        <v>7</v>
      </c>
      <c r="F15" s="42" t="s">
        <v>7</v>
      </c>
      <c r="G15" s="42" t="s">
        <v>7</v>
      </c>
      <c r="H15" s="38"/>
      <c r="I15" s="23" t="s">
        <v>18</v>
      </c>
      <c r="J15" s="23"/>
      <c r="K15" s="23"/>
      <c r="L15" s="23"/>
      <c r="M15" s="23"/>
      <c r="N15" s="23"/>
      <c r="O15" s="23"/>
      <c r="P15" s="23"/>
    </row>
    <row r="16" spans="1:16" ht="15.75" thickBot="1" x14ac:dyDescent="0.3">
      <c r="A16" s="57">
        <v>1242676</v>
      </c>
      <c r="B16" s="60" t="s">
        <v>22</v>
      </c>
      <c r="C16" s="15">
        <v>1</v>
      </c>
      <c r="D16" s="30">
        <v>2.4</v>
      </c>
      <c r="E16" s="31">
        <v>0.3</v>
      </c>
      <c r="F16" s="28">
        <v>135</v>
      </c>
      <c r="G16" s="55" t="s">
        <v>19</v>
      </c>
      <c r="H16" s="38"/>
      <c r="I16" s="23"/>
      <c r="J16" s="23"/>
      <c r="K16" s="23"/>
      <c r="L16" s="23"/>
      <c r="M16" s="23"/>
      <c r="N16" s="23"/>
      <c r="O16" s="23"/>
      <c r="P16" s="23"/>
    </row>
    <row r="17" spans="1:16" ht="15.75" thickBot="1" x14ac:dyDescent="0.3">
      <c r="A17" s="58"/>
      <c r="B17" s="61"/>
      <c r="C17" s="16">
        <v>2</v>
      </c>
      <c r="D17" s="32">
        <v>1.8</v>
      </c>
      <c r="E17" s="33">
        <v>0.5</v>
      </c>
      <c r="F17" s="29">
        <v>132</v>
      </c>
      <c r="G17" s="55" t="s">
        <v>19</v>
      </c>
      <c r="H17" s="38"/>
      <c r="I17" s="23"/>
      <c r="J17" s="23"/>
      <c r="K17" s="23"/>
      <c r="L17" s="23"/>
      <c r="M17" s="23"/>
      <c r="N17" s="23"/>
      <c r="O17" s="23"/>
      <c r="P17" s="23"/>
    </row>
    <row r="18" spans="1:16" ht="15.75" thickBot="1" x14ac:dyDescent="0.3">
      <c r="A18" s="59"/>
      <c r="B18" s="62"/>
      <c r="C18" s="17">
        <v>3</v>
      </c>
      <c r="D18" s="42" t="s">
        <v>7</v>
      </c>
      <c r="E18" s="42" t="s">
        <v>7</v>
      </c>
      <c r="F18" s="42" t="s">
        <v>7</v>
      </c>
      <c r="G18" s="42" t="s">
        <v>7</v>
      </c>
      <c r="H18" s="38"/>
      <c r="I18" s="23"/>
      <c r="J18" s="23"/>
      <c r="K18" s="23"/>
      <c r="L18" s="23"/>
      <c r="M18" s="23"/>
      <c r="N18" s="23"/>
      <c r="O18" s="23"/>
      <c r="P18" s="23"/>
    </row>
    <row r="19" spans="1:16" ht="15.75" thickBot="1" x14ac:dyDescent="0.3">
      <c r="A19" s="57">
        <v>1252524</v>
      </c>
      <c r="B19" s="60" t="s">
        <v>23</v>
      </c>
      <c r="C19" s="15">
        <v>1</v>
      </c>
      <c r="D19" s="30">
        <v>2.2000000000000002</v>
      </c>
      <c r="E19" s="31">
        <v>0.3</v>
      </c>
      <c r="F19" s="28">
        <v>157</v>
      </c>
      <c r="G19" s="55" t="s">
        <v>19</v>
      </c>
      <c r="H19" s="38"/>
      <c r="I19" s="23"/>
      <c r="J19" s="23"/>
      <c r="K19" s="23"/>
      <c r="L19" s="23"/>
      <c r="M19" s="23"/>
      <c r="N19" s="23"/>
      <c r="O19" s="23"/>
      <c r="P19" s="23"/>
    </row>
    <row r="20" spans="1:16" ht="15.75" thickBot="1" x14ac:dyDescent="0.3">
      <c r="A20" s="58"/>
      <c r="B20" s="61"/>
      <c r="C20" s="16">
        <v>2</v>
      </c>
      <c r="D20" s="32">
        <v>1.7</v>
      </c>
      <c r="E20" s="33">
        <v>0.4</v>
      </c>
      <c r="F20" s="29">
        <v>170</v>
      </c>
      <c r="G20" s="55" t="s">
        <v>19</v>
      </c>
      <c r="H20" s="38"/>
      <c r="I20" s="23"/>
      <c r="J20" s="23"/>
      <c r="K20" s="23"/>
      <c r="L20" s="23"/>
      <c r="M20" s="23"/>
      <c r="N20" s="23"/>
      <c r="O20" s="23"/>
      <c r="P20" s="23"/>
    </row>
    <row r="21" spans="1:16" ht="15.75" thickBot="1" x14ac:dyDescent="0.3">
      <c r="A21" s="59"/>
      <c r="B21" s="62"/>
      <c r="C21" s="17">
        <v>3</v>
      </c>
      <c r="D21" s="42" t="s">
        <v>7</v>
      </c>
      <c r="E21" s="42" t="s">
        <v>7</v>
      </c>
      <c r="F21" s="42" t="s">
        <v>7</v>
      </c>
      <c r="G21" s="51" t="s">
        <v>7</v>
      </c>
      <c r="H21" s="42"/>
      <c r="I21" s="23"/>
      <c r="J21" s="23"/>
      <c r="K21" s="23"/>
      <c r="L21" s="23"/>
      <c r="M21" s="23"/>
      <c r="N21" s="23"/>
      <c r="O21" s="23"/>
      <c r="P21" s="23"/>
    </row>
    <row r="22" spans="1:16" ht="15.75" thickBot="1" x14ac:dyDescent="0.3">
      <c r="A22" s="57">
        <v>1252524</v>
      </c>
      <c r="B22" s="60" t="s">
        <v>24</v>
      </c>
      <c r="C22" s="15">
        <v>1</v>
      </c>
      <c r="D22" s="30">
        <v>2.2000000000000002</v>
      </c>
      <c r="E22" s="31">
        <v>0.3</v>
      </c>
      <c r="F22" s="28">
        <v>149</v>
      </c>
      <c r="G22" s="55" t="s">
        <v>19</v>
      </c>
      <c r="H22" s="42"/>
      <c r="I22" s="23"/>
      <c r="J22" s="23"/>
      <c r="K22" s="23"/>
      <c r="L22" s="23"/>
      <c r="M22" s="23"/>
      <c r="N22" s="23"/>
      <c r="O22" s="23"/>
      <c r="P22" s="23"/>
    </row>
    <row r="23" spans="1:16" ht="15.75" thickBot="1" x14ac:dyDescent="0.3">
      <c r="A23" s="58"/>
      <c r="B23" s="61"/>
      <c r="C23" s="16">
        <v>2</v>
      </c>
      <c r="D23" s="32">
        <v>1.7</v>
      </c>
      <c r="E23" s="33">
        <v>0.4</v>
      </c>
      <c r="F23" s="29">
        <v>165</v>
      </c>
      <c r="G23" s="55" t="s">
        <v>19</v>
      </c>
      <c r="H23" s="42"/>
      <c r="I23" s="23"/>
      <c r="J23" s="23"/>
      <c r="K23" s="23"/>
      <c r="L23" s="23"/>
      <c r="M23" s="23"/>
      <c r="N23" s="23"/>
      <c r="O23" s="23"/>
      <c r="P23" s="23"/>
    </row>
    <row r="24" spans="1:16" ht="15.75" thickBot="1" x14ac:dyDescent="0.3">
      <c r="A24" s="59"/>
      <c r="B24" s="62"/>
      <c r="C24" s="17">
        <v>3</v>
      </c>
      <c r="D24" s="42">
        <v>0.8</v>
      </c>
      <c r="E24" s="42">
        <v>0.3</v>
      </c>
      <c r="F24" s="42">
        <v>170</v>
      </c>
      <c r="G24" s="55" t="s">
        <v>19</v>
      </c>
      <c r="H24" s="42"/>
      <c r="I24" s="23"/>
      <c r="J24" s="23"/>
      <c r="K24" s="23"/>
      <c r="L24" s="23"/>
      <c r="M24" s="23"/>
      <c r="N24" s="23"/>
      <c r="O24" s="23"/>
      <c r="P24" s="23"/>
    </row>
    <row r="25" spans="1:16" ht="15.75" thickBot="1" x14ac:dyDescent="0.3">
      <c r="A25" s="57">
        <v>1242562</v>
      </c>
      <c r="B25" s="60" t="s">
        <v>25</v>
      </c>
      <c r="C25" s="15">
        <v>1</v>
      </c>
      <c r="D25" s="30">
        <v>2.2000000000000002</v>
      </c>
      <c r="E25" s="31">
        <v>0.3</v>
      </c>
      <c r="F25" s="28">
        <v>158</v>
      </c>
      <c r="G25" s="55" t="s">
        <v>19</v>
      </c>
      <c r="H25" s="42"/>
      <c r="I25" s="23"/>
      <c r="J25" s="23"/>
      <c r="K25" s="23"/>
      <c r="L25" s="23"/>
      <c r="M25" s="23"/>
      <c r="N25" s="23"/>
      <c r="O25" s="23"/>
      <c r="P25" s="23"/>
    </row>
    <row r="26" spans="1:16" ht="15.75" thickBot="1" x14ac:dyDescent="0.3">
      <c r="A26" s="58"/>
      <c r="B26" s="61"/>
      <c r="C26" s="16">
        <v>2</v>
      </c>
      <c r="D26" s="32">
        <v>1.6</v>
      </c>
      <c r="E26" s="33">
        <v>0.5</v>
      </c>
      <c r="F26" s="29">
        <v>160</v>
      </c>
      <c r="G26" s="55" t="s">
        <v>19</v>
      </c>
      <c r="H26" s="42"/>
      <c r="I26" s="23"/>
      <c r="J26" s="23"/>
      <c r="K26" s="23"/>
      <c r="L26" s="23"/>
      <c r="M26" s="23"/>
      <c r="N26" s="23"/>
      <c r="O26" s="23"/>
      <c r="P26" s="23"/>
    </row>
    <row r="27" spans="1:16" ht="15.75" thickBot="1" x14ac:dyDescent="0.3">
      <c r="A27" s="59"/>
      <c r="B27" s="62"/>
      <c r="C27" s="17">
        <v>3</v>
      </c>
      <c r="D27" s="42">
        <v>1.2</v>
      </c>
      <c r="E27" s="42">
        <v>0.3</v>
      </c>
      <c r="F27" s="42">
        <v>170</v>
      </c>
      <c r="G27" s="51" t="s">
        <v>19</v>
      </c>
      <c r="H27" s="42"/>
      <c r="I27" s="23"/>
      <c r="J27" s="23"/>
      <c r="K27" s="23"/>
      <c r="L27" s="23"/>
      <c r="M27" s="23"/>
      <c r="N27" s="23"/>
      <c r="O27" s="23"/>
      <c r="P27" s="23"/>
    </row>
    <row r="28" spans="1:16" ht="15.75" thickBot="1" x14ac:dyDescent="0.3">
      <c r="A28" s="57">
        <v>1242562</v>
      </c>
      <c r="B28" s="60" t="s">
        <v>26</v>
      </c>
      <c r="C28" s="15">
        <v>1</v>
      </c>
      <c r="D28" s="30">
        <v>2.2000000000000002</v>
      </c>
      <c r="E28" s="31">
        <v>0.3</v>
      </c>
      <c r="F28" s="28">
        <v>160</v>
      </c>
      <c r="G28" s="55" t="s">
        <v>19</v>
      </c>
      <c r="H28" s="42"/>
      <c r="I28" s="23"/>
      <c r="J28" s="23"/>
      <c r="K28" s="23"/>
      <c r="L28" s="23"/>
      <c r="M28" s="23"/>
      <c r="N28" s="23"/>
      <c r="O28" s="23"/>
      <c r="P28" s="23"/>
    </row>
    <row r="29" spans="1:16" ht="15.75" thickBot="1" x14ac:dyDescent="0.3">
      <c r="A29" s="58"/>
      <c r="B29" s="61"/>
      <c r="C29" s="16">
        <v>2</v>
      </c>
      <c r="D29" s="32">
        <v>1.6</v>
      </c>
      <c r="E29" s="33">
        <v>0.6</v>
      </c>
      <c r="F29" s="29">
        <v>150</v>
      </c>
      <c r="G29" s="55" t="s">
        <v>19</v>
      </c>
      <c r="H29" s="42"/>
      <c r="I29" s="23"/>
      <c r="J29" s="23"/>
      <c r="K29" s="23"/>
      <c r="L29" s="23"/>
      <c r="M29" s="23"/>
      <c r="N29" s="23"/>
      <c r="O29" s="23"/>
      <c r="P29" s="23"/>
    </row>
    <row r="30" spans="1:16" ht="15.75" thickBot="1" x14ac:dyDescent="0.3">
      <c r="A30" s="59"/>
      <c r="B30" s="62"/>
      <c r="C30" s="17">
        <v>3</v>
      </c>
      <c r="D30" s="42" t="s">
        <v>7</v>
      </c>
      <c r="E30" s="42" t="s">
        <v>7</v>
      </c>
      <c r="F30" s="42" t="s">
        <v>7</v>
      </c>
      <c r="G30" s="55" t="s">
        <v>7</v>
      </c>
      <c r="H30" s="42"/>
      <c r="I30" s="23" t="s">
        <v>18</v>
      </c>
      <c r="J30" s="23"/>
      <c r="K30" s="23"/>
      <c r="L30" s="23"/>
      <c r="M30" s="23"/>
      <c r="N30" s="23"/>
      <c r="O30" s="23"/>
      <c r="P30" s="23"/>
    </row>
    <row r="31" spans="1:16" ht="14.25" customHeight="1" thickBot="1" x14ac:dyDescent="0.3">
      <c r="A31" s="57">
        <v>1242562</v>
      </c>
      <c r="B31" s="60" t="s">
        <v>27</v>
      </c>
      <c r="C31" s="15">
        <v>1</v>
      </c>
      <c r="D31" s="30">
        <v>2.2000000000000002</v>
      </c>
      <c r="E31" s="31">
        <v>0.3</v>
      </c>
      <c r="F31" s="28">
        <v>163</v>
      </c>
      <c r="G31" s="55" t="s">
        <v>19</v>
      </c>
      <c r="H31" s="42"/>
      <c r="I31" s="23"/>
      <c r="J31" s="23"/>
      <c r="K31" s="23"/>
      <c r="L31" s="23"/>
      <c r="M31" s="23"/>
      <c r="N31" s="23"/>
      <c r="O31" s="23"/>
      <c r="P31" s="23"/>
    </row>
    <row r="32" spans="1:16" ht="15.75" thickBot="1" x14ac:dyDescent="0.3">
      <c r="A32" s="58"/>
      <c r="B32" s="61"/>
      <c r="C32" s="16">
        <v>2</v>
      </c>
      <c r="D32" s="32">
        <v>1.8</v>
      </c>
      <c r="E32" s="33">
        <v>0.3</v>
      </c>
      <c r="F32" s="29">
        <v>164</v>
      </c>
      <c r="G32" s="55" t="s">
        <v>19</v>
      </c>
      <c r="H32" s="42"/>
      <c r="I32" s="23"/>
      <c r="J32" s="23"/>
      <c r="K32" s="23"/>
      <c r="L32" s="23"/>
      <c r="M32" s="23"/>
      <c r="N32" s="23"/>
      <c r="O32" s="23"/>
      <c r="P32" s="23"/>
    </row>
    <row r="33" spans="1:16" ht="15.75" thickBot="1" x14ac:dyDescent="0.3">
      <c r="A33" s="59"/>
      <c r="B33" s="62"/>
      <c r="C33" s="17">
        <v>3</v>
      </c>
      <c r="D33" s="42" t="s">
        <v>7</v>
      </c>
      <c r="E33" s="42" t="s">
        <v>7</v>
      </c>
      <c r="F33" s="42" t="s">
        <v>7</v>
      </c>
      <c r="G33" s="55" t="s">
        <v>7</v>
      </c>
      <c r="H33" s="42"/>
      <c r="I33" s="23" t="s">
        <v>18</v>
      </c>
      <c r="J33" s="23" t="s">
        <v>18</v>
      </c>
      <c r="K33" s="23"/>
      <c r="L33" s="23"/>
      <c r="M33" s="23"/>
      <c r="N33" s="23"/>
      <c r="O33" s="23"/>
      <c r="P33" s="23"/>
    </row>
    <row r="34" spans="1:16" ht="15.75" thickBot="1" x14ac:dyDescent="0.3">
      <c r="A34" s="57">
        <v>1242562</v>
      </c>
      <c r="B34" s="60" t="s">
        <v>28</v>
      </c>
      <c r="C34" s="15">
        <v>1</v>
      </c>
      <c r="D34" s="30">
        <v>2.2000000000000002</v>
      </c>
      <c r="E34" s="31">
        <v>0.3</v>
      </c>
      <c r="F34" s="28">
        <v>169</v>
      </c>
      <c r="G34" s="55" t="s">
        <v>19</v>
      </c>
      <c r="H34" s="42"/>
      <c r="I34" s="23"/>
      <c r="J34" s="23"/>
      <c r="K34" s="23"/>
      <c r="L34" s="23"/>
      <c r="M34" s="23"/>
      <c r="N34" s="23"/>
      <c r="O34" s="23"/>
      <c r="P34" s="23"/>
    </row>
    <row r="35" spans="1:16" ht="15.75" thickBot="1" x14ac:dyDescent="0.3">
      <c r="A35" s="58"/>
      <c r="B35" s="61"/>
      <c r="C35" s="16">
        <v>2</v>
      </c>
      <c r="D35" s="32">
        <v>1.8</v>
      </c>
      <c r="E35" s="33">
        <v>0.3</v>
      </c>
      <c r="F35" s="29">
        <v>168</v>
      </c>
      <c r="G35" s="55" t="s">
        <v>19</v>
      </c>
      <c r="H35" s="42"/>
      <c r="I35" s="23"/>
      <c r="J35" s="23"/>
      <c r="K35" s="23"/>
      <c r="L35" s="23"/>
      <c r="M35" s="23"/>
      <c r="N35" s="23"/>
      <c r="O35" s="23"/>
      <c r="P35" s="23"/>
    </row>
    <row r="36" spans="1:16" ht="15.75" thickBot="1" x14ac:dyDescent="0.3">
      <c r="A36" s="59"/>
      <c r="B36" s="62"/>
      <c r="C36" s="17">
        <v>3</v>
      </c>
      <c r="D36" s="43" t="s">
        <v>7</v>
      </c>
      <c r="E36" s="44" t="s">
        <v>7</v>
      </c>
      <c r="F36" s="45" t="s">
        <v>7</v>
      </c>
      <c r="G36" s="55" t="s">
        <v>7</v>
      </c>
      <c r="H36" s="42"/>
      <c r="I36" s="23"/>
      <c r="J36" s="23"/>
      <c r="K36" s="23"/>
      <c r="L36" s="23"/>
      <c r="M36" s="23"/>
      <c r="N36" s="23"/>
      <c r="O36" s="23"/>
      <c r="P36" s="23"/>
    </row>
    <row r="37" spans="1:16" ht="15.75" thickBot="1" x14ac:dyDescent="0.3">
      <c r="A37" s="57">
        <v>1252650</v>
      </c>
      <c r="B37" s="60" t="s">
        <v>29</v>
      </c>
      <c r="C37" s="15">
        <v>1</v>
      </c>
      <c r="D37" s="30">
        <v>2.1</v>
      </c>
      <c r="E37" s="31">
        <v>0.6</v>
      </c>
      <c r="F37" s="28">
        <v>165</v>
      </c>
      <c r="G37" s="55" t="s">
        <v>30</v>
      </c>
      <c r="H37" s="42"/>
      <c r="I37" s="23"/>
      <c r="J37" s="23"/>
      <c r="K37" s="23"/>
      <c r="L37" s="23"/>
      <c r="M37" s="23"/>
      <c r="N37" s="23"/>
      <c r="O37" s="23"/>
      <c r="P37" s="23"/>
    </row>
    <row r="38" spans="1:16" ht="15.75" thickBot="1" x14ac:dyDescent="0.3">
      <c r="A38" s="58"/>
      <c r="B38" s="61"/>
      <c r="C38" s="16">
        <v>2</v>
      </c>
      <c r="D38" s="32">
        <v>1.6</v>
      </c>
      <c r="E38" s="33">
        <v>0.4</v>
      </c>
      <c r="F38" s="29">
        <v>161</v>
      </c>
      <c r="G38" s="55" t="s">
        <v>30</v>
      </c>
      <c r="H38" s="42"/>
      <c r="I38" s="23"/>
      <c r="J38" s="23"/>
      <c r="K38" s="23"/>
      <c r="L38" s="23"/>
      <c r="M38" s="23"/>
      <c r="N38" s="23"/>
      <c r="O38" s="23"/>
      <c r="P38" s="23"/>
    </row>
    <row r="39" spans="1:16" ht="15.75" thickBot="1" x14ac:dyDescent="0.3">
      <c r="A39" s="59"/>
      <c r="B39" s="62"/>
      <c r="C39" s="17">
        <v>3</v>
      </c>
      <c r="D39" s="43" t="s">
        <v>7</v>
      </c>
      <c r="E39" s="44" t="s">
        <v>7</v>
      </c>
      <c r="F39" s="45" t="s">
        <v>7</v>
      </c>
      <c r="G39" s="55" t="s">
        <v>7</v>
      </c>
      <c r="H39" s="42"/>
      <c r="I39" s="37"/>
      <c r="J39" s="37"/>
      <c r="K39" s="23"/>
      <c r="L39" s="23"/>
      <c r="M39" s="23"/>
      <c r="N39" s="23"/>
      <c r="O39" s="23"/>
      <c r="P39" s="23"/>
    </row>
    <row r="40" spans="1:16" ht="15.75" thickBot="1" x14ac:dyDescent="0.3">
      <c r="A40" s="57">
        <v>1242694</v>
      </c>
      <c r="B40" s="60" t="s">
        <v>31</v>
      </c>
      <c r="C40" s="15">
        <v>1</v>
      </c>
      <c r="D40" s="30">
        <v>2.1</v>
      </c>
      <c r="E40" s="31">
        <v>0.5</v>
      </c>
      <c r="F40" s="46">
        <v>155</v>
      </c>
      <c r="G40" s="55" t="s">
        <v>30</v>
      </c>
      <c r="H40" s="42"/>
      <c r="I40" s="23"/>
      <c r="J40" s="23"/>
      <c r="K40" s="23"/>
      <c r="L40" s="23"/>
      <c r="M40" s="23"/>
      <c r="N40" s="23"/>
      <c r="O40" s="23"/>
      <c r="P40" s="23"/>
    </row>
    <row r="41" spans="1:16" ht="15.75" thickBot="1" x14ac:dyDescent="0.3">
      <c r="A41" s="58"/>
      <c r="B41" s="61"/>
      <c r="C41" s="16">
        <v>2</v>
      </c>
      <c r="D41" s="32">
        <v>1.6</v>
      </c>
      <c r="E41" s="33">
        <v>0.4</v>
      </c>
      <c r="F41" s="47">
        <v>170</v>
      </c>
      <c r="G41" s="55" t="s">
        <v>30</v>
      </c>
      <c r="H41" s="42"/>
      <c r="I41" s="23"/>
      <c r="J41" s="23"/>
      <c r="K41" s="23"/>
      <c r="L41" s="23"/>
      <c r="M41" s="23"/>
      <c r="N41" s="23"/>
      <c r="O41" s="23"/>
      <c r="P41" s="23"/>
    </row>
    <row r="42" spans="1:16" ht="15.75" thickBot="1" x14ac:dyDescent="0.3">
      <c r="A42" s="59"/>
      <c r="B42" s="62"/>
      <c r="C42" s="17">
        <v>3</v>
      </c>
      <c r="D42" s="43" t="s">
        <v>7</v>
      </c>
      <c r="E42" s="44" t="s">
        <v>7</v>
      </c>
      <c r="F42" s="45" t="s">
        <v>7</v>
      </c>
      <c r="G42" s="55" t="s">
        <v>7</v>
      </c>
      <c r="H42" s="42"/>
      <c r="I42" s="37"/>
      <c r="J42" s="37"/>
      <c r="K42" s="23"/>
      <c r="L42" s="23"/>
      <c r="M42" s="23"/>
      <c r="N42" s="23"/>
      <c r="O42" s="23"/>
      <c r="P42" s="23"/>
    </row>
    <row r="43" spans="1:16" ht="15.75" thickBot="1" x14ac:dyDescent="0.3">
      <c r="A43" s="57">
        <v>1242694</v>
      </c>
      <c r="B43" s="60" t="s">
        <v>32</v>
      </c>
      <c r="C43" s="15">
        <v>1</v>
      </c>
      <c r="D43" s="30">
        <v>2.1</v>
      </c>
      <c r="E43" s="31">
        <v>0.5</v>
      </c>
      <c r="F43" s="28">
        <v>148</v>
      </c>
      <c r="G43" s="55" t="s">
        <v>30</v>
      </c>
      <c r="H43" s="42"/>
      <c r="I43" s="23"/>
      <c r="J43" s="23"/>
      <c r="K43" s="23"/>
      <c r="L43" s="23"/>
      <c r="M43" s="23"/>
      <c r="N43" s="23"/>
      <c r="O43" s="23"/>
      <c r="P43" s="23"/>
    </row>
    <row r="44" spans="1:16" ht="15.75" thickBot="1" x14ac:dyDescent="0.3">
      <c r="A44" s="58"/>
      <c r="B44" s="61"/>
      <c r="C44" s="16">
        <v>2</v>
      </c>
      <c r="D44" s="32">
        <v>1.6</v>
      </c>
      <c r="E44" s="33">
        <v>0.4</v>
      </c>
      <c r="F44" s="29">
        <v>160</v>
      </c>
      <c r="G44" s="55" t="s">
        <v>33</v>
      </c>
      <c r="H44" s="42"/>
      <c r="I44" s="23"/>
      <c r="J44" s="23"/>
      <c r="K44" s="23"/>
      <c r="L44" s="23"/>
      <c r="M44" s="23"/>
      <c r="N44" s="23"/>
      <c r="O44" s="23"/>
      <c r="P44" s="23"/>
    </row>
    <row r="45" spans="1:16" ht="15.75" thickBot="1" x14ac:dyDescent="0.3">
      <c r="A45" s="59"/>
      <c r="B45" s="62"/>
      <c r="C45" s="17">
        <v>3</v>
      </c>
      <c r="D45" s="42" t="s">
        <v>7</v>
      </c>
      <c r="E45" s="42" t="s">
        <v>7</v>
      </c>
      <c r="F45" s="42" t="s">
        <v>7</v>
      </c>
      <c r="G45" s="42" t="s">
        <v>7</v>
      </c>
      <c r="H45" s="42"/>
      <c r="I45" s="23"/>
      <c r="J45" s="23"/>
      <c r="K45" s="23"/>
      <c r="L45" s="23"/>
      <c r="M45" s="23"/>
      <c r="N45" s="23"/>
      <c r="O45" s="23"/>
      <c r="P45" s="23"/>
    </row>
    <row r="46" spans="1:16" ht="15.75" thickBot="1" x14ac:dyDescent="0.3">
      <c r="A46" s="57">
        <v>1242694</v>
      </c>
      <c r="B46" s="60" t="s">
        <v>34</v>
      </c>
      <c r="C46" s="15">
        <v>1</v>
      </c>
      <c r="D46" s="30">
        <v>2.1</v>
      </c>
      <c r="E46" s="31">
        <v>0.5</v>
      </c>
      <c r="F46" s="46">
        <v>149</v>
      </c>
      <c r="G46" s="55" t="s">
        <v>33</v>
      </c>
      <c r="H46" s="42"/>
      <c r="I46" s="23"/>
      <c r="J46" s="23"/>
      <c r="K46" s="23"/>
      <c r="L46" s="23"/>
      <c r="M46" s="23"/>
      <c r="N46" s="23"/>
      <c r="O46" s="23"/>
      <c r="P46" s="23"/>
    </row>
    <row r="47" spans="1:16" ht="15.75" thickBot="1" x14ac:dyDescent="0.3">
      <c r="A47" s="58"/>
      <c r="B47" s="61"/>
      <c r="C47" s="16">
        <v>2</v>
      </c>
      <c r="D47" s="32">
        <v>1.6</v>
      </c>
      <c r="E47" s="33">
        <v>0.5</v>
      </c>
      <c r="F47" s="47">
        <v>143</v>
      </c>
      <c r="G47" s="55" t="s">
        <v>33</v>
      </c>
      <c r="H47" s="42"/>
      <c r="I47" s="23"/>
      <c r="J47" s="23"/>
      <c r="K47" s="23"/>
      <c r="L47" s="23"/>
      <c r="M47" s="23"/>
      <c r="N47" s="23"/>
      <c r="O47" s="23"/>
      <c r="P47" s="23"/>
    </row>
    <row r="48" spans="1:16" ht="15.75" thickBot="1" x14ac:dyDescent="0.3">
      <c r="A48" s="59"/>
      <c r="B48" s="62"/>
      <c r="C48" s="17">
        <v>3</v>
      </c>
      <c r="D48" s="42" t="s">
        <v>7</v>
      </c>
      <c r="E48" s="42" t="s">
        <v>7</v>
      </c>
      <c r="F48" s="42" t="s">
        <v>7</v>
      </c>
      <c r="G48" s="42" t="s">
        <v>7</v>
      </c>
      <c r="H48" s="42"/>
      <c r="I48" s="23"/>
      <c r="J48" s="23"/>
      <c r="K48" s="23"/>
      <c r="L48" s="23"/>
      <c r="M48" s="23"/>
      <c r="N48" s="23"/>
      <c r="O48" s="23"/>
      <c r="P48" s="23"/>
    </row>
    <row r="49" spans="1:16" ht="15.75" thickBot="1" x14ac:dyDescent="0.3">
      <c r="A49" s="57">
        <v>1242694</v>
      </c>
      <c r="B49" s="60" t="s">
        <v>35</v>
      </c>
      <c r="C49" s="15">
        <v>1</v>
      </c>
      <c r="D49" s="30">
        <v>2.1</v>
      </c>
      <c r="E49" s="31">
        <v>0.5</v>
      </c>
      <c r="F49" s="28">
        <v>147</v>
      </c>
      <c r="G49" s="55" t="s">
        <v>33</v>
      </c>
      <c r="H49" s="42"/>
      <c r="I49" s="23"/>
      <c r="J49" s="23"/>
      <c r="K49" s="23"/>
      <c r="L49" s="23"/>
      <c r="M49" s="23"/>
      <c r="N49" s="23"/>
      <c r="O49" s="23"/>
      <c r="P49" s="23"/>
    </row>
    <row r="50" spans="1:16" ht="15.75" thickBot="1" x14ac:dyDescent="0.3">
      <c r="A50" s="58"/>
      <c r="B50" s="61"/>
      <c r="C50" s="16">
        <v>2</v>
      </c>
      <c r="D50" s="32">
        <v>1.5</v>
      </c>
      <c r="E50" s="33">
        <v>0.5</v>
      </c>
      <c r="F50" s="29">
        <v>149</v>
      </c>
      <c r="G50" s="55" t="s">
        <v>33</v>
      </c>
      <c r="H50" s="42"/>
      <c r="I50" s="23"/>
      <c r="J50" s="23"/>
      <c r="K50" s="23"/>
      <c r="L50" s="23"/>
      <c r="M50" s="23"/>
      <c r="N50" s="23"/>
      <c r="O50" s="23"/>
      <c r="P50" s="23"/>
    </row>
    <row r="51" spans="1:16" ht="15.75" thickBot="1" x14ac:dyDescent="0.3">
      <c r="A51" s="59"/>
      <c r="B51" s="62"/>
      <c r="C51" s="17">
        <v>3</v>
      </c>
      <c r="D51" s="43" t="s">
        <v>7</v>
      </c>
      <c r="E51" s="44" t="s">
        <v>7</v>
      </c>
      <c r="F51" s="45" t="s">
        <v>7</v>
      </c>
      <c r="G51" s="55" t="s">
        <v>7</v>
      </c>
      <c r="H51" s="42"/>
      <c r="I51" s="23"/>
      <c r="J51" s="23"/>
      <c r="K51" s="23"/>
      <c r="L51" s="23"/>
      <c r="M51" s="23"/>
      <c r="N51" s="23"/>
      <c r="O51" s="23"/>
      <c r="P51" s="23"/>
    </row>
    <row r="52" spans="1:16" ht="15.75" thickBot="1" x14ac:dyDescent="0.3">
      <c r="A52" s="57">
        <v>1242694</v>
      </c>
      <c r="B52" s="60" t="s">
        <v>36</v>
      </c>
      <c r="C52" s="15">
        <v>1</v>
      </c>
      <c r="D52" s="30">
        <v>2.1</v>
      </c>
      <c r="E52" s="31">
        <v>0.5</v>
      </c>
      <c r="F52" s="28">
        <v>146</v>
      </c>
      <c r="G52" s="55" t="s">
        <v>33</v>
      </c>
      <c r="H52" s="42"/>
      <c r="I52" s="23"/>
      <c r="J52" s="23"/>
      <c r="K52" s="23"/>
      <c r="L52" s="23"/>
      <c r="M52" s="23"/>
      <c r="N52" s="23"/>
      <c r="O52" s="23"/>
      <c r="P52" s="23"/>
    </row>
    <row r="53" spans="1:16" ht="15.75" thickBot="1" x14ac:dyDescent="0.3">
      <c r="A53" s="58"/>
      <c r="B53" s="61"/>
      <c r="C53" s="16">
        <v>2</v>
      </c>
      <c r="D53" s="32">
        <v>1.5</v>
      </c>
      <c r="E53" s="33">
        <v>0.4</v>
      </c>
      <c r="F53" s="29">
        <v>165</v>
      </c>
      <c r="G53" s="55" t="s">
        <v>33</v>
      </c>
      <c r="H53" s="42"/>
      <c r="I53" s="23"/>
      <c r="J53" s="23"/>
      <c r="K53" s="23"/>
      <c r="L53" s="23"/>
      <c r="M53" s="23"/>
      <c r="N53" s="23"/>
      <c r="O53" s="23"/>
      <c r="P53" s="23"/>
    </row>
    <row r="54" spans="1:16" ht="15.75" thickBot="1" x14ac:dyDescent="0.3">
      <c r="A54" s="59"/>
      <c r="B54" s="62"/>
      <c r="C54" s="17">
        <v>3</v>
      </c>
      <c r="D54" s="43"/>
      <c r="E54" s="44"/>
      <c r="F54" s="45"/>
      <c r="G54" s="55"/>
      <c r="H54" s="42"/>
      <c r="I54" s="23"/>
      <c r="J54" s="23"/>
      <c r="K54" s="23"/>
      <c r="L54" s="23"/>
      <c r="M54" s="23"/>
      <c r="N54" s="23"/>
      <c r="O54" s="23"/>
      <c r="P54" s="23"/>
    </row>
    <row r="55" spans="1:16" ht="15.75" thickBot="1" x14ac:dyDescent="0.3">
      <c r="A55" s="57">
        <v>1242694</v>
      </c>
      <c r="B55" s="60" t="s">
        <v>37</v>
      </c>
      <c r="C55" s="15">
        <v>1</v>
      </c>
      <c r="D55" s="30">
        <v>2.1</v>
      </c>
      <c r="E55" s="31">
        <v>0.5</v>
      </c>
      <c r="F55" s="28">
        <v>163</v>
      </c>
      <c r="G55" s="55" t="s">
        <v>33</v>
      </c>
      <c r="H55" s="42"/>
      <c r="I55" s="23"/>
      <c r="J55" s="23"/>
      <c r="K55" s="23"/>
      <c r="L55" s="23"/>
      <c r="M55" s="23"/>
      <c r="N55" s="23"/>
      <c r="O55" s="23"/>
      <c r="P55" s="23"/>
    </row>
    <row r="56" spans="1:16" ht="15.75" thickBot="1" x14ac:dyDescent="0.3">
      <c r="A56" s="58"/>
      <c r="B56" s="61"/>
      <c r="C56" s="16">
        <v>2</v>
      </c>
      <c r="D56" s="32">
        <v>1.5</v>
      </c>
      <c r="E56" s="33">
        <v>0.5</v>
      </c>
      <c r="F56" s="29">
        <v>133</v>
      </c>
      <c r="G56" s="55" t="s">
        <v>33</v>
      </c>
      <c r="H56" s="42"/>
      <c r="I56" s="23"/>
      <c r="J56" s="23"/>
      <c r="K56" s="23"/>
      <c r="L56" s="23"/>
      <c r="M56" s="23"/>
      <c r="N56" s="23"/>
      <c r="O56" s="23"/>
      <c r="P56" s="23"/>
    </row>
    <row r="57" spans="1:16" ht="15.75" thickBot="1" x14ac:dyDescent="0.3">
      <c r="A57" s="59"/>
      <c r="B57" s="62"/>
      <c r="C57" s="17">
        <v>3</v>
      </c>
      <c r="D57" s="43" t="s">
        <v>7</v>
      </c>
      <c r="E57" s="44" t="s">
        <v>7</v>
      </c>
      <c r="F57" s="42" t="s">
        <v>7</v>
      </c>
      <c r="G57" s="55" t="s">
        <v>7</v>
      </c>
      <c r="H57" s="42"/>
      <c r="I57" s="23"/>
      <c r="J57" s="23"/>
      <c r="K57" s="23"/>
      <c r="L57" s="23"/>
      <c r="M57" s="23"/>
      <c r="N57" s="23"/>
      <c r="O57" s="23"/>
      <c r="P57" s="23"/>
    </row>
    <row r="58" spans="1:16" ht="15.75" thickBot="1" x14ac:dyDescent="0.3">
      <c r="A58" s="57">
        <v>1242694</v>
      </c>
      <c r="B58" s="60" t="s">
        <v>38</v>
      </c>
      <c r="C58" s="15">
        <v>1</v>
      </c>
      <c r="D58" s="30">
        <v>2.1</v>
      </c>
      <c r="E58" s="31">
        <v>0.4</v>
      </c>
      <c r="F58" s="28">
        <v>163</v>
      </c>
      <c r="G58" s="55" t="s">
        <v>39</v>
      </c>
      <c r="H58" s="42"/>
      <c r="I58" s="23"/>
      <c r="J58" s="23"/>
      <c r="K58" s="23"/>
      <c r="L58" s="23"/>
      <c r="M58" s="23"/>
      <c r="N58" s="23"/>
      <c r="O58" s="23"/>
      <c r="P58" s="23"/>
    </row>
    <row r="59" spans="1:16" ht="15.75" thickBot="1" x14ac:dyDescent="0.3">
      <c r="A59" s="58"/>
      <c r="B59" s="61"/>
      <c r="C59" s="16">
        <v>2</v>
      </c>
      <c r="D59" s="32">
        <v>1.3</v>
      </c>
      <c r="E59" s="33">
        <v>0.5</v>
      </c>
      <c r="F59" s="29">
        <v>170</v>
      </c>
      <c r="G59" s="55" t="s">
        <v>39</v>
      </c>
      <c r="H59" s="42"/>
      <c r="I59" s="23"/>
      <c r="J59" s="23"/>
      <c r="K59" s="23"/>
      <c r="L59" s="23"/>
      <c r="M59" s="23"/>
      <c r="N59" s="23"/>
      <c r="O59" s="23"/>
      <c r="P59" s="23"/>
    </row>
    <row r="60" spans="1:16" ht="15.75" thickBot="1" x14ac:dyDescent="0.3">
      <c r="A60" s="59"/>
      <c r="B60" s="62"/>
      <c r="C60" s="17">
        <v>3</v>
      </c>
      <c r="D60" s="42"/>
      <c r="E60" s="42"/>
      <c r="F60" s="42"/>
      <c r="G60" s="42"/>
      <c r="H60" s="42"/>
      <c r="I60" s="23"/>
      <c r="J60" s="23"/>
      <c r="K60" s="23"/>
      <c r="L60" s="23"/>
      <c r="M60" s="23"/>
      <c r="N60" s="23"/>
      <c r="O60" s="23"/>
      <c r="P60" s="23"/>
    </row>
    <row r="61" spans="1:16" ht="15.75" thickBot="1" x14ac:dyDescent="0.3">
      <c r="A61" s="57">
        <v>1242694</v>
      </c>
      <c r="B61" s="60" t="s">
        <v>40</v>
      </c>
      <c r="C61" s="15">
        <v>1</v>
      </c>
      <c r="D61" s="30">
        <v>2.1</v>
      </c>
      <c r="E61" s="31">
        <v>0.4</v>
      </c>
      <c r="F61" s="28">
        <v>162</v>
      </c>
      <c r="G61" s="55" t="s">
        <v>41</v>
      </c>
      <c r="H61" s="42"/>
      <c r="I61" s="23"/>
      <c r="J61" s="23"/>
      <c r="K61" s="23"/>
      <c r="L61" s="23"/>
      <c r="M61" s="23"/>
      <c r="N61" s="23"/>
      <c r="O61" s="23"/>
      <c r="P61" s="23"/>
    </row>
    <row r="62" spans="1:16" ht="15.75" thickBot="1" x14ac:dyDescent="0.3">
      <c r="A62" s="58"/>
      <c r="B62" s="61"/>
      <c r="C62" s="16">
        <v>2</v>
      </c>
      <c r="D62" s="32">
        <v>1.4</v>
      </c>
      <c r="E62" s="33">
        <v>0.6</v>
      </c>
      <c r="F62" s="29">
        <v>170</v>
      </c>
      <c r="G62" s="55" t="s">
        <v>41</v>
      </c>
      <c r="H62" s="42"/>
      <c r="I62" s="23"/>
      <c r="J62" s="23"/>
      <c r="K62" s="23"/>
      <c r="L62" s="23"/>
      <c r="M62" s="23"/>
      <c r="N62" s="23"/>
      <c r="O62" s="23"/>
      <c r="P62" s="23"/>
    </row>
    <row r="63" spans="1:16" ht="15.75" thickBot="1" x14ac:dyDescent="0.3">
      <c r="A63" s="59"/>
      <c r="B63" s="62"/>
      <c r="C63" s="17">
        <v>3</v>
      </c>
      <c r="D63" s="42"/>
      <c r="E63" s="42"/>
      <c r="F63" s="42"/>
      <c r="G63" s="42"/>
      <c r="H63" s="42"/>
      <c r="I63" s="23"/>
      <c r="J63" s="23"/>
      <c r="K63" s="23"/>
      <c r="L63" s="23"/>
      <c r="M63" s="23"/>
      <c r="N63" s="23"/>
      <c r="O63" s="23"/>
      <c r="P63" s="23"/>
    </row>
    <row r="64" spans="1:16" ht="15.75" thickBot="1" x14ac:dyDescent="0.3">
      <c r="A64" s="25"/>
      <c r="B64" s="60" t="s">
        <v>42</v>
      </c>
      <c r="C64" s="15">
        <v>1</v>
      </c>
      <c r="D64" s="30">
        <v>2.1</v>
      </c>
      <c r="E64" s="31">
        <v>0.4</v>
      </c>
      <c r="F64" s="28">
        <v>170</v>
      </c>
      <c r="G64" s="55" t="s">
        <v>41</v>
      </c>
      <c r="H64" s="42"/>
      <c r="I64" s="23"/>
      <c r="J64" s="23"/>
      <c r="K64" s="23"/>
      <c r="L64" s="23"/>
      <c r="M64" s="23"/>
      <c r="N64" s="23"/>
      <c r="O64" s="23"/>
      <c r="P64" s="23"/>
    </row>
    <row r="65" spans="1:16" ht="15.75" thickBot="1" x14ac:dyDescent="0.3">
      <c r="A65" s="26">
        <v>1242694</v>
      </c>
      <c r="B65" s="61"/>
      <c r="C65" s="16">
        <v>2</v>
      </c>
      <c r="D65" s="32">
        <v>1.4</v>
      </c>
      <c r="E65" s="33">
        <v>0.5</v>
      </c>
      <c r="F65" s="29">
        <v>165</v>
      </c>
      <c r="G65" s="55" t="s">
        <v>41</v>
      </c>
      <c r="H65" s="42"/>
      <c r="I65" s="23"/>
      <c r="J65" s="23"/>
      <c r="K65" s="23"/>
      <c r="L65" s="23"/>
      <c r="M65" s="23"/>
      <c r="N65" s="23"/>
      <c r="O65" s="23"/>
      <c r="P65" s="23"/>
    </row>
    <row r="66" spans="1:16" ht="15.75" thickBot="1" x14ac:dyDescent="0.3">
      <c r="A66" s="27"/>
      <c r="B66" s="62"/>
      <c r="C66" s="17">
        <v>3</v>
      </c>
      <c r="D66" s="42"/>
      <c r="E66" s="42"/>
      <c r="F66" s="42"/>
      <c r="G66" s="42"/>
      <c r="H66" s="42"/>
      <c r="I66" s="23"/>
      <c r="J66" s="23"/>
      <c r="K66" s="23"/>
      <c r="L66" s="23"/>
      <c r="M66" s="23"/>
      <c r="N66" s="23"/>
      <c r="O66" s="23"/>
      <c r="P66" s="23"/>
    </row>
    <row r="67" spans="1:16" ht="15.75" thickBot="1" x14ac:dyDescent="0.3">
      <c r="A67" s="25"/>
      <c r="B67" s="60" t="s">
        <v>43</v>
      </c>
      <c r="C67" s="15">
        <v>1</v>
      </c>
      <c r="D67" s="30">
        <v>2.1</v>
      </c>
      <c r="E67" s="31">
        <v>0.5</v>
      </c>
      <c r="F67" s="28">
        <v>166</v>
      </c>
      <c r="G67" s="55" t="s">
        <v>41</v>
      </c>
      <c r="H67" s="42"/>
      <c r="I67" s="23"/>
      <c r="J67" s="23"/>
      <c r="K67" s="23"/>
      <c r="L67" s="23"/>
      <c r="M67" s="23"/>
      <c r="N67" s="23"/>
      <c r="O67" s="23"/>
      <c r="P67" s="23"/>
    </row>
    <row r="68" spans="1:16" ht="15.75" thickBot="1" x14ac:dyDescent="0.3">
      <c r="A68" s="26">
        <v>1242694</v>
      </c>
      <c r="B68" s="61"/>
      <c r="C68" s="16">
        <v>2</v>
      </c>
      <c r="D68" s="32">
        <v>1.5</v>
      </c>
      <c r="E68" s="33">
        <v>0.4</v>
      </c>
      <c r="F68" s="29">
        <v>169</v>
      </c>
      <c r="G68" s="55" t="s">
        <v>41</v>
      </c>
      <c r="H68" s="42"/>
      <c r="I68" s="23"/>
      <c r="J68" s="23"/>
      <c r="K68" s="23"/>
      <c r="L68" s="23"/>
      <c r="M68" s="23"/>
      <c r="N68" s="23"/>
      <c r="O68" s="23"/>
      <c r="P68" s="23"/>
    </row>
    <row r="69" spans="1:16" ht="15.75" thickBot="1" x14ac:dyDescent="0.3">
      <c r="A69" s="27"/>
      <c r="B69" s="62"/>
      <c r="C69" s="17">
        <v>3</v>
      </c>
      <c r="D69" s="43"/>
      <c r="E69" s="44"/>
      <c r="F69" s="45"/>
      <c r="G69" s="55"/>
      <c r="H69" s="42"/>
      <c r="I69" s="23"/>
      <c r="J69" s="23"/>
      <c r="K69" s="23"/>
      <c r="L69" s="23"/>
      <c r="M69" s="23"/>
      <c r="N69" s="23"/>
      <c r="O69" s="23"/>
      <c r="P69" s="23"/>
    </row>
    <row r="70" spans="1:16" ht="15.75" thickBot="1" x14ac:dyDescent="0.3">
      <c r="A70" s="57">
        <v>1242694</v>
      </c>
      <c r="B70" s="60" t="s">
        <v>44</v>
      </c>
      <c r="C70" s="15">
        <v>1</v>
      </c>
      <c r="D70" s="30">
        <v>2.1</v>
      </c>
      <c r="E70" s="31">
        <v>0.5</v>
      </c>
      <c r="F70" s="28">
        <v>163</v>
      </c>
      <c r="G70" s="55" t="s">
        <v>41</v>
      </c>
      <c r="H70" s="42"/>
      <c r="I70" s="23"/>
      <c r="J70" s="23"/>
      <c r="K70" s="23"/>
      <c r="L70" s="23"/>
      <c r="M70" s="23"/>
      <c r="N70" s="23"/>
      <c r="O70" s="23"/>
      <c r="P70" s="23"/>
    </row>
    <row r="71" spans="1:16" ht="15.75" thickBot="1" x14ac:dyDescent="0.3">
      <c r="A71" s="58"/>
      <c r="B71" s="61"/>
      <c r="C71" s="16">
        <v>2</v>
      </c>
      <c r="D71" s="32">
        <v>1.5</v>
      </c>
      <c r="E71" s="33">
        <v>0.3</v>
      </c>
      <c r="F71" s="29">
        <v>163</v>
      </c>
      <c r="G71" s="55" t="s">
        <v>41</v>
      </c>
      <c r="H71" s="42"/>
      <c r="I71" s="23"/>
      <c r="J71" s="23"/>
      <c r="K71" s="23"/>
      <c r="L71" s="23"/>
      <c r="M71" s="23"/>
      <c r="N71" s="23"/>
      <c r="O71" s="23"/>
      <c r="P71" s="23"/>
    </row>
    <row r="72" spans="1:16" ht="15.75" thickBot="1" x14ac:dyDescent="0.3">
      <c r="A72" s="59"/>
      <c r="B72" s="62"/>
      <c r="C72" s="17">
        <v>3</v>
      </c>
      <c r="D72" s="43"/>
      <c r="E72" s="44"/>
      <c r="F72" s="45"/>
      <c r="G72" s="55"/>
      <c r="H72" s="42"/>
      <c r="I72" s="23"/>
      <c r="J72" s="23"/>
      <c r="K72" s="23"/>
      <c r="L72" s="23"/>
      <c r="M72" s="23"/>
      <c r="N72" s="23"/>
      <c r="O72" s="23"/>
      <c r="P72" s="23"/>
    </row>
    <row r="73" spans="1:16" ht="15.75" thickBot="1" x14ac:dyDescent="0.3">
      <c r="A73" s="57">
        <v>1242694</v>
      </c>
      <c r="B73" s="60" t="s">
        <v>45</v>
      </c>
      <c r="C73" s="15">
        <v>1</v>
      </c>
      <c r="D73" s="30">
        <v>2</v>
      </c>
      <c r="E73" s="31">
        <v>0.6</v>
      </c>
      <c r="F73" s="28">
        <v>169</v>
      </c>
      <c r="G73" s="55" t="s">
        <v>41</v>
      </c>
      <c r="H73" s="42"/>
      <c r="I73" s="23"/>
      <c r="J73" s="23"/>
      <c r="K73" s="23"/>
      <c r="L73" s="23"/>
      <c r="M73" s="23"/>
      <c r="N73" s="23"/>
      <c r="O73" s="23"/>
      <c r="P73" s="23"/>
    </row>
    <row r="74" spans="1:16" ht="15.75" thickBot="1" x14ac:dyDescent="0.3">
      <c r="A74" s="58"/>
      <c r="B74" s="61"/>
      <c r="C74" s="16">
        <v>2</v>
      </c>
      <c r="D74" s="32">
        <v>1.5</v>
      </c>
      <c r="E74" s="33">
        <v>0.4</v>
      </c>
      <c r="F74" s="29">
        <v>170</v>
      </c>
      <c r="G74" s="55" t="s">
        <v>41</v>
      </c>
      <c r="H74" s="42"/>
      <c r="I74" s="23"/>
      <c r="J74" s="23"/>
      <c r="K74" s="23"/>
      <c r="L74" s="23"/>
      <c r="M74" s="23"/>
      <c r="N74" s="23"/>
      <c r="O74" s="23"/>
      <c r="P74" s="23"/>
    </row>
    <row r="75" spans="1:16" ht="15.75" thickBot="1" x14ac:dyDescent="0.3">
      <c r="A75" s="59"/>
      <c r="B75" s="62"/>
      <c r="C75" s="17">
        <v>3</v>
      </c>
      <c r="D75" s="42"/>
      <c r="E75" s="42"/>
      <c r="F75" s="42"/>
      <c r="G75" s="42"/>
      <c r="H75" s="48"/>
      <c r="I75" s="23"/>
      <c r="J75" s="23"/>
      <c r="K75" s="23"/>
      <c r="L75" s="23"/>
      <c r="M75" s="23"/>
      <c r="N75" s="23"/>
      <c r="O75" s="23"/>
      <c r="P75" s="23"/>
    </row>
    <row r="76" spans="1:16" ht="15.75" thickBot="1" x14ac:dyDescent="0.3">
      <c r="A76" s="57">
        <v>1242694</v>
      </c>
      <c r="B76" s="60" t="s">
        <v>46</v>
      </c>
      <c r="C76" s="15">
        <v>1</v>
      </c>
      <c r="D76" s="30">
        <v>2</v>
      </c>
      <c r="E76" s="31">
        <v>0.6</v>
      </c>
      <c r="F76" s="28">
        <v>169</v>
      </c>
      <c r="G76" s="53" t="s">
        <v>41</v>
      </c>
      <c r="H76" s="42"/>
      <c r="I76" s="23"/>
      <c r="J76" s="23"/>
      <c r="K76" s="23"/>
      <c r="L76" s="23"/>
      <c r="M76" s="23"/>
      <c r="N76" s="23"/>
      <c r="O76" s="23"/>
      <c r="P76" s="23"/>
    </row>
    <row r="77" spans="1:16" ht="15.75" thickBot="1" x14ac:dyDescent="0.3">
      <c r="A77" s="58"/>
      <c r="B77" s="61"/>
      <c r="C77" s="16">
        <v>2</v>
      </c>
      <c r="D77" s="32">
        <v>1.4</v>
      </c>
      <c r="E77" s="33">
        <v>0.4</v>
      </c>
      <c r="F77" s="29">
        <v>170</v>
      </c>
      <c r="G77" s="55" t="s">
        <v>41</v>
      </c>
      <c r="H77" s="42"/>
      <c r="I77" s="23"/>
      <c r="J77" s="23"/>
      <c r="K77" s="23"/>
      <c r="L77" s="23"/>
      <c r="M77" s="23"/>
      <c r="N77" s="23"/>
      <c r="O77" s="23"/>
      <c r="P77" s="23"/>
    </row>
    <row r="78" spans="1:16" ht="15.75" thickBot="1" x14ac:dyDescent="0.3">
      <c r="A78" s="59"/>
      <c r="B78" s="62"/>
      <c r="C78" s="17">
        <v>3</v>
      </c>
      <c r="D78" s="42"/>
      <c r="E78" s="42"/>
      <c r="F78" s="42"/>
      <c r="G78" s="42"/>
      <c r="H78" s="48"/>
      <c r="I78" s="23"/>
      <c r="J78" s="23"/>
      <c r="K78" s="23"/>
      <c r="L78" s="23"/>
      <c r="M78" s="23"/>
      <c r="N78" s="23"/>
      <c r="O78" s="23"/>
      <c r="P78" s="23"/>
    </row>
    <row r="79" spans="1:16" ht="15.75" thickBot="1" x14ac:dyDescent="0.3">
      <c r="A79" s="57">
        <v>1242694</v>
      </c>
      <c r="B79" s="60" t="s">
        <v>47</v>
      </c>
      <c r="C79" s="15">
        <v>1</v>
      </c>
      <c r="D79" s="30">
        <v>2</v>
      </c>
      <c r="E79" s="31">
        <v>0.6</v>
      </c>
      <c r="F79" s="28">
        <v>165</v>
      </c>
      <c r="G79" s="55" t="s">
        <v>41</v>
      </c>
      <c r="H79" s="42"/>
      <c r="I79" s="23"/>
      <c r="J79" s="23"/>
      <c r="K79" s="23"/>
      <c r="L79" s="23"/>
      <c r="M79" s="23"/>
      <c r="N79" s="23"/>
      <c r="O79" s="23"/>
      <c r="P79" s="23"/>
    </row>
    <row r="80" spans="1:16" ht="15.75" thickBot="1" x14ac:dyDescent="0.3">
      <c r="A80" s="58"/>
      <c r="B80" s="61"/>
      <c r="C80" s="16">
        <v>2</v>
      </c>
      <c r="D80" s="32">
        <v>1.5</v>
      </c>
      <c r="E80" s="33">
        <v>0.4</v>
      </c>
      <c r="F80" s="29">
        <v>170</v>
      </c>
      <c r="G80" s="55" t="s">
        <v>41</v>
      </c>
      <c r="H80" s="42"/>
      <c r="I80" s="23"/>
      <c r="J80" s="23"/>
      <c r="K80" s="23"/>
      <c r="L80" s="23"/>
      <c r="M80" s="23"/>
      <c r="N80" s="23"/>
      <c r="O80" s="23"/>
      <c r="P80" s="23"/>
    </row>
    <row r="81" spans="1:16" ht="15.75" thickBot="1" x14ac:dyDescent="0.3">
      <c r="A81" s="59"/>
      <c r="B81" s="62"/>
      <c r="C81" s="17">
        <v>3</v>
      </c>
      <c r="D81" s="42"/>
      <c r="E81" s="42"/>
      <c r="F81" s="42"/>
      <c r="G81" s="42"/>
      <c r="H81" s="48"/>
      <c r="I81" s="23"/>
      <c r="J81" s="23"/>
      <c r="K81" s="23"/>
      <c r="L81" s="23"/>
      <c r="M81" s="23"/>
      <c r="N81" s="23"/>
      <c r="O81" s="23"/>
      <c r="P81" s="23"/>
    </row>
    <row r="82" spans="1:16" ht="15.75" thickBot="1" x14ac:dyDescent="0.3">
      <c r="A82" s="57">
        <v>1242694</v>
      </c>
      <c r="B82" s="60" t="s">
        <v>48</v>
      </c>
      <c r="C82" s="15">
        <v>1</v>
      </c>
      <c r="D82" s="30">
        <v>2</v>
      </c>
      <c r="E82" s="31">
        <v>0.5</v>
      </c>
      <c r="F82" s="28">
        <v>170</v>
      </c>
      <c r="G82" s="55" t="s">
        <v>41</v>
      </c>
      <c r="H82" s="42"/>
      <c r="I82" s="23"/>
      <c r="J82" s="23"/>
      <c r="K82" s="23"/>
      <c r="L82" s="23"/>
      <c r="M82" s="23"/>
      <c r="N82" s="23"/>
      <c r="O82" s="23"/>
      <c r="P82" s="23"/>
    </row>
    <row r="83" spans="1:16" ht="15.75" thickBot="1" x14ac:dyDescent="0.3">
      <c r="A83" s="58"/>
      <c r="B83" s="61"/>
      <c r="C83" s="16">
        <v>2</v>
      </c>
      <c r="D83" s="32">
        <v>1.3</v>
      </c>
      <c r="E83" s="33">
        <v>0.7</v>
      </c>
      <c r="F83" s="29">
        <v>170</v>
      </c>
      <c r="G83" s="55" t="s">
        <v>41</v>
      </c>
      <c r="H83" s="42"/>
      <c r="I83" s="23"/>
      <c r="J83" s="23"/>
      <c r="K83" s="23"/>
      <c r="L83" s="23"/>
      <c r="M83" s="23"/>
      <c r="N83" s="23"/>
      <c r="O83" s="23"/>
      <c r="P83" s="23"/>
    </row>
    <row r="84" spans="1:16" ht="15.75" thickBot="1" x14ac:dyDescent="0.3">
      <c r="A84" s="59"/>
      <c r="B84" s="62"/>
      <c r="C84" s="17">
        <v>3</v>
      </c>
      <c r="D84" s="42"/>
      <c r="E84" s="42"/>
      <c r="F84" s="42"/>
      <c r="G84" s="42"/>
      <c r="H84" s="48"/>
      <c r="I84" s="23"/>
      <c r="J84" s="23"/>
      <c r="K84" s="23"/>
      <c r="L84" s="23"/>
      <c r="M84" s="23"/>
      <c r="N84" s="23"/>
      <c r="O84" s="23"/>
      <c r="P84" s="23"/>
    </row>
    <row r="85" spans="1:16" ht="15.75" thickBot="1" x14ac:dyDescent="0.3">
      <c r="A85" s="57">
        <v>1242694</v>
      </c>
      <c r="B85" s="60" t="s">
        <v>49</v>
      </c>
      <c r="C85" s="15">
        <v>1</v>
      </c>
      <c r="D85" s="30">
        <v>2</v>
      </c>
      <c r="E85" s="31">
        <v>0.5</v>
      </c>
      <c r="F85" s="28">
        <v>169</v>
      </c>
      <c r="G85" s="55" t="s">
        <v>41</v>
      </c>
      <c r="H85" s="42"/>
      <c r="I85" s="23"/>
      <c r="J85" s="23"/>
      <c r="K85" s="23"/>
      <c r="L85" s="23"/>
      <c r="M85" s="23"/>
      <c r="N85" s="23"/>
      <c r="O85" s="23"/>
      <c r="P85" s="23"/>
    </row>
    <row r="86" spans="1:16" ht="15.75" thickBot="1" x14ac:dyDescent="0.3">
      <c r="A86" s="58"/>
      <c r="B86" s="61"/>
      <c r="C86" s="16">
        <v>2</v>
      </c>
      <c r="D86" s="32">
        <v>1.3</v>
      </c>
      <c r="E86" s="33">
        <v>0.7</v>
      </c>
      <c r="F86" s="29">
        <v>170</v>
      </c>
      <c r="G86" s="55" t="s">
        <v>41</v>
      </c>
      <c r="H86" s="42"/>
      <c r="I86" s="23"/>
      <c r="J86" s="23"/>
      <c r="K86" s="23"/>
      <c r="L86" s="23"/>
      <c r="M86" s="23"/>
      <c r="N86" s="23"/>
      <c r="O86" s="23"/>
      <c r="P86" s="23"/>
    </row>
    <row r="87" spans="1:16" ht="15.75" thickBot="1" x14ac:dyDescent="0.3">
      <c r="A87" s="59"/>
      <c r="B87" s="62"/>
      <c r="C87" s="17">
        <v>3</v>
      </c>
      <c r="D87" s="42"/>
      <c r="E87" s="42"/>
      <c r="F87" s="42"/>
      <c r="G87" s="42"/>
      <c r="H87" s="42"/>
      <c r="I87" s="23"/>
      <c r="J87" s="23"/>
      <c r="K87" s="23"/>
      <c r="L87" s="23"/>
      <c r="M87" s="23"/>
      <c r="N87" s="23"/>
      <c r="O87" s="23"/>
      <c r="P87" s="23"/>
    </row>
    <row r="88" spans="1:16" ht="15.75" thickBot="1" x14ac:dyDescent="0.3">
      <c r="A88" s="57"/>
      <c r="B88" s="60"/>
      <c r="C88" s="15">
        <v>1</v>
      </c>
      <c r="D88" s="30"/>
      <c r="E88" s="31"/>
      <c r="F88" s="28"/>
      <c r="G88" s="55"/>
      <c r="H88" s="49"/>
      <c r="I88" s="23"/>
      <c r="J88" s="23"/>
      <c r="K88" s="23"/>
      <c r="L88" s="23"/>
      <c r="M88" s="23"/>
      <c r="N88" s="23"/>
      <c r="O88" s="23"/>
      <c r="P88" s="23"/>
    </row>
    <row r="89" spans="1:16" ht="15.75" thickBot="1" x14ac:dyDescent="0.3">
      <c r="A89" s="58"/>
      <c r="B89" s="61"/>
      <c r="C89" s="16">
        <v>2</v>
      </c>
      <c r="D89" s="32"/>
      <c r="E89" s="33"/>
      <c r="F89" s="29"/>
      <c r="G89" s="55"/>
      <c r="H89" s="49"/>
      <c r="I89" s="23"/>
      <c r="J89" s="23"/>
      <c r="K89" s="23"/>
      <c r="L89" s="23"/>
      <c r="M89" s="23"/>
      <c r="N89" s="23"/>
      <c r="O89" s="23"/>
      <c r="P89" s="23"/>
    </row>
    <row r="90" spans="1:16" ht="15.75" thickBot="1" x14ac:dyDescent="0.3">
      <c r="A90" s="59"/>
      <c r="B90" s="62"/>
      <c r="C90" s="17">
        <v>3</v>
      </c>
      <c r="D90" s="42"/>
      <c r="E90" s="42"/>
      <c r="F90" s="42"/>
      <c r="G90" s="42"/>
      <c r="H90" s="42"/>
      <c r="I90" s="23"/>
      <c r="J90" s="23"/>
      <c r="K90" s="23"/>
      <c r="L90" s="23"/>
      <c r="M90" s="23"/>
      <c r="N90" s="23"/>
      <c r="O90" s="23"/>
      <c r="P90" s="23"/>
    </row>
    <row r="91" spans="1:16" ht="15.75" thickBot="1" x14ac:dyDescent="0.3">
      <c r="A91" s="57"/>
      <c r="B91" s="60"/>
      <c r="C91" s="15">
        <v>1</v>
      </c>
      <c r="D91" s="30"/>
      <c r="E91" s="31"/>
      <c r="F91" s="28"/>
      <c r="G91" s="55"/>
      <c r="H91" s="49"/>
      <c r="I91" s="23"/>
      <c r="J91" s="23"/>
      <c r="K91" s="23"/>
      <c r="L91" s="23"/>
      <c r="M91" s="23"/>
      <c r="N91" s="23"/>
      <c r="O91" s="23"/>
      <c r="P91" s="23"/>
    </row>
    <row r="92" spans="1:16" ht="15.75" thickBot="1" x14ac:dyDescent="0.3">
      <c r="A92" s="58"/>
      <c r="B92" s="61"/>
      <c r="C92" s="16">
        <v>2</v>
      </c>
      <c r="D92" s="32"/>
      <c r="E92" s="33"/>
      <c r="F92" s="29"/>
      <c r="G92" s="55"/>
      <c r="H92" s="49"/>
      <c r="I92" s="23"/>
      <c r="J92" s="23"/>
      <c r="K92" s="23"/>
      <c r="L92" s="23"/>
      <c r="M92" s="23"/>
      <c r="N92" s="23"/>
      <c r="O92" s="23"/>
      <c r="P92" s="23"/>
    </row>
    <row r="93" spans="1:16" ht="15.75" thickBot="1" x14ac:dyDescent="0.3">
      <c r="A93" s="59"/>
      <c r="B93" s="62"/>
      <c r="C93" s="17">
        <v>3</v>
      </c>
      <c r="D93" s="42"/>
      <c r="E93" s="42"/>
      <c r="F93" s="42"/>
      <c r="G93" s="42"/>
      <c r="H93" s="42"/>
      <c r="I93" s="23"/>
      <c r="J93" s="23"/>
      <c r="K93" s="23"/>
      <c r="L93" s="23"/>
      <c r="M93" s="23"/>
      <c r="N93" s="23"/>
      <c r="O93" s="23"/>
      <c r="P93" s="23"/>
    </row>
    <row r="94" spans="1:16" ht="15.75" thickBot="1" x14ac:dyDescent="0.3">
      <c r="A94" s="57"/>
      <c r="B94" s="60"/>
      <c r="C94" s="15">
        <v>1</v>
      </c>
      <c r="D94" s="30"/>
      <c r="E94" s="31"/>
      <c r="F94" s="28"/>
      <c r="G94" s="55"/>
      <c r="H94" s="49"/>
      <c r="I94" s="23"/>
      <c r="J94" s="23"/>
      <c r="K94" s="23"/>
      <c r="L94" s="23"/>
      <c r="M94" s="23"/>
      <c r="N94" s="23"/>
      <c r="O94" s="23"/>
      <c r="P94" s="23"/>
    </row>
    <row r="95" spans="1:16" ht="15.75" thickBot="1" x14ac:dyDescent="0.3">
      <c r="A95" s="58"/>
      <c r="B95" s="61"/>
      <c r="C95" s="16">
        <v>2</v>
      </c>
      <c r="D95" s="32"/>
      <c r="E95" s="33"/>
      <c r="F95" s="29"/>
      <c r="G95" s="55"/>
      <c r="H95" s="49"/>
      <c r="I95" s="23"/>
      <c r="J95" s="23"/>
      <c r="K95" s="23"/>
      <c r="L95" s="23"/>
      <c r="M95" s="23"/>
      <c r="N95" s="23"/>
      <c r="O95" s="23"/>
      <c r="P95" s="23"/>
    </row>
    <row r="96" spans="1:16" ht="15.75" thickBot="1" x14ac:dyDescent="0.3">
      <c r="A96" s="59"/>
      <c r="B96" s="62"/>
      <c r="C96" s="17">
        <v>3</v>
      </c>
      <c r="D96" s="42"/>
      <c r="E96" s="42"/>
      <c r="F96" s="42"/>
      <c r="G96" s="42"/>
      <c r="H96" s="42"/>
      <c r="I96" s="23"/>
      <c r="J96" s="23"/>
      <c r="K96" s="23"/>
      <c r="L96" s="23"/>
      <c r="M96" s="23"/>
      <c r="N96" s="23"/>
      <c r="O96" s="23"/>
      <c r="P96" s="23"/>
    </row>
    <row r="97" spans="1:16" ht="15.75" thickBot="1" x14ac:dyDescent="0.3">
      <c r="A97" s="57"/>
      <c r="B97" s="60"/>
      <c r="C97" s="15">
        <v>1</v>
      </c>
      <c r="D97" s="30"/>
      <c r="E97" s="31"/>
      <c r="F97" s="28"/>
      <c r="G97" s="55"/>
      <c r="H97" s="49"/>
      <c r="I97" s="23"/>
      <c r="J97" s="23"/>
      <c r="K97" s="23"/>
      <c r="L97" s="23"/>
      <c r="M97" s="23"/>
      <c r="N97" s="23"/>
      <c r="O97" s="23"/>
      <c r="P97" s="23"/>
    </row>
    <row r="98" spans="1:16" ht="15.75" thickBot="1" x14ac:dyDescent="0.3">
      <c r="A98" s="58"/>
      <c r="B98" s="61"/>
      <c r="C98" s="16">
        <v>2</v>
      </c>
      <c r="D98" s="32"/>
      <c r="E98" s="33"/>
      <c r="F98" s="29"/>
      <c r="G98" s="55"/>
      <c r="H98" s="49"/>
      <c r="I98" s="23"/>
      <c r="J98" s="23"/>
      <c r="K98" s="23"/>
      <c r="L98" s="23"/>
      <c r="M98" s="23"/>
      <c r="N98" s="23"/>
      <c r="O98" s="23"/>
      <c r="P98" s="23"/>
    </row>
    <row r="99" spans="1:16" ht="15.75" thickBot="1" x14ac:dyDescent="0.3">
      <c r="A99" s="59"/>
      <c r="B99" s="62"/>
      <c r="C99" s="17">
        <v>3</v>
      </c>
      <c r="D99" s="42"/>
      <c r="E99" s="42"/>
      <c r="F99" s="42"/>
      <c r="G99" s="42"/>
      <c r="H99" s="42"/>
      <c r="I99" s="23"/>
      <c r="J99" s="23"/>
      <c r="K99" s="23"/>
      <c r="L99" s="23"/>
      <c r="M99" s="23"/>
      <c r="N99" s="23"/>
      <c r="O99" s="23"/>
      <c r="P99" s="23"/>
    </row>
    <row r="100" spans="1:16" ht="15.75" thickBot="1" x14ac:dyDescent="0.3">
      <c r="A100" s="57"/>
      <c r="B100" s="60"/>
      <c r="C100" s="15">
        <v>1</v>
      </c>
      <c r="D100" s="30"/>
      <c r="E100" s="31"/>
      <c r="F100" s="28"/>
      <c r="G100" s="56"/>
      <c r="H100" s="49"/>
      <c r="I100" s="23"/>
      <c r="J100" s="23"/>
      <c r="K100" s="23"/>
      <c r="L100" s="23"/>
      <c r="M100" s="23"/>
      <c r="N100" s="23"/>
      <c r="O100" s="23"/>
      <c r="P100" s="23"/>
    </row>
    <row r="101" spans="1:16" ht="15.75" thickBot="1" x14ac:dyDescent="0.3">
      <c r="A101" s="58"/>
      <c r="B101" s="61"/>
      <c r="C101" s="16">
        <v>2</v>
      </c>
      <c r="D101" s="32"/>
      <c r="E101" s="33"/>
      <c r="F101" s="29"/>
      <c r="G101" s="56"/>
      <c r="H101" s="49"/>
      <c r="I101" s="23"/>
      <c r="J101" s="23"/>
      <c r="K101" s="23"/>
      <c r="L101" s="23"/>
      <c r="M101" s="23"/>
      <c r="N101" s="23"/>
      <c r="O101" s="23"/>
      <c r="P101" s="23"/>
    </row>
    <row r="102" spans="1:16" ht="15.75" thickBot="1" x14ac:dyDescent="0.3">
      <c r="A102" s="59"/>
      <c r="B102" s="62"/>
      <c r="C102" s="17">
        <v>3</v>
      </c>
      <c r="D102" s="42"/>
      <c r="E102" s="42"/>
      <c r="F102" s="42"/>
      <c r="G102" s="42"/>
      <c r="H102" s="42"/>
      <c r="I102" s="23"/>
      <c r="J102" s="23"/>
      <c r="K102" s="23"/>
      <c r="L102" s="23"/>
      <c r="M102" s="23"/>
      <c r="N102" s="23"/>
      <c r="O102" s="23"/>
      <c r="P102" s="23"/>
    </row>
    <row r="103" spans="1:16" ht="15.75" thickBot="1" x14ac:dyDescent="0.3">
      <c r="A103" s="57"/>
      <c r="B103" s="60"/>
      <c r="C103" s="15">
        <v>1</v>
      </c>
      <c r="D103" s="30"/>
      <c r="E103" s="31"/>
      <c r="F103" s="28"/>
      <c r="G103" s="56"/>
      <c r="H103" s="49"/>
      <c r="I103" s="23"/>
      <c r="J103" s="23"/>
      <c r="K103" s="23"/>
      <c r="L103" s="23"/>
      <c r="M103" s="23"/>
      <c r="N103" s="23"/>
      <c r="O103" s="23"/>
      <c r="P103" s="23"/>
    </row>
    <row r="104" spans="1:16" ht="15.75" thickBot="1" x14ac:dyDescent="0.3">
      <c r="A104" s="58"/>
      <c r="B104" s="61"/>
      <c r="C104" s="16">
        <v>2</v>
      </c>
      <c r="D104" s="32"/>
      <c r="E104" s="33"/>
      <c r="F104" s="29"/>
      <c r="G104" s="56"/>
      <c r="H104" s="49"/>
      <c r="I104" s="23"/>
      <c r="J104" s="23"/>
      <c r="K104" s="23"/>
      <c r="L104" s="23"/>
      <c r="M104" s="23"/>
      <c r="N104" s="23"/>
      <c r="O104" s="23"/>
      <c r="P104" s="23"/>
    </row>
    <row r="105" spans="1:16" ht="15.75" thickBot="1" x14ac:dyDescent="0.3">
      <c r="A105" s="59"/>
      <c r="B105" s="62"/>
      <c r="C105" s="17">
        <v>3</v>
      </c>
      <c r="D105" s="42"/>
      <c r="E105" s="42"/>
      <c r="F105" s="42"/>
      <c r="G105" s="42"/>
      <c r="H105" s="42"/>
      <c r="I105" s="23"/>
      <c r="J105" s="23"/>
      <c r="K105" s="23"/>
      <c r="L105" s="23"/>
      <c r="M105" s="23"/>
      <c r="N105" s="23"/>
      <c r="O105" s="23"/>
      <c r="P105" s="23"/>
    </row>
    <row r="106" spans="1:16" ht="15.75" thickBot="1" x14ac:dyDescent="0.3">
      <c r="A106" s="57"/>
      <c r="B106" s="60"/>
      <c r="C106" s="15">
        <v>1</v>
      </c>
      <c r="D106" s="30"/>
      <c r="E106" s="31"/>
      <c r="F106" s="28"/>
      <c r="G106" s="56"/>
      <c r="H106" s="49"/>
      <c r="I106" s="23"/>
      <c r="J106" s="23"/>
      <c r="K106" s="23"/>
      <c r="L106" s="23"/>
      <c r="M106" s="23"/>
      <c r="N106" s="23"/>
      <c r="O106" s="23"/>
      <c r="P106" s="23"/>
    </row>
    <row r="107" spans="1:16" ht="15.75" thickBot="1" x14ac:dyDescent="0.3">
      <c r="A107" s="58"/>
      <c r="B107" s="61"/>
      <c r="C107" s="16">
        <v>2</v>
      </c>
      <c r="D107" s="32"/>
      <c r="E107" s="33"/>
      <c r="F107" s="29"/>
      <c r="G107" s="56"/>
      <c r="H107" s="49"/>
      <c r="I107" s="23"/>
      <c r="J107" s="23"/>
      <c r="K107" s="23"/>
      <c r="L107" s="23"/>
      <c r="M107" s="23"/>
      <c r="N107" s="23"/>
      <c r="O107" s="23"/>
      <c r="P107" s="23"/>
    </row>
    <row r="108" spans="1:16" ht="15.75" thickBot="1" x14ac:dyDescent="0.3">
      <c r="A108" s="59"/>
      <c r="B108" s="62"/>
      <c r="C108" s="17">
        <v>3</v>
      </c>
      <c r="D108" s="42"/>
      <c r="E108" s="42"/>
      <c r="F108" s="42"/>
      <c r="G108" s="42"/>
      <c r="H108" s="42"/>
      <c r="I108" s="23"/>
      <c r="J108" s="23"/>
      <c r="K108" s="23"/>
      <c r="L108" s="23"/>
      <c r="M108" s="23"/>
      <c r="N108" s="23"/>
      <c r="O108" s="23"/>
      <c r="P108" s="23"/>
    </row>
    <row r="109" spans="1:16" ht="15.75" thickBot="1" x14ac:dyDescent="0.3">
      <c r="A109" s="57"/>
      <c r="B109" s="60"/>
      <c r="C109" s="15">
        <v>1</v>
      </c>
      <c r="D109" s="30"/>
      <c r="E109" s="31"/>
      <c r="F109" s="28"/>
      <c r="G109" s="56"/>
      <c r="H109" s="49"/>
      <c r="I109" s="23"/>
      <c r="J109" s="23"/>
      <c r="K109" s="23"/>
      <c r="L109" s="23"/>
      <c r="M109" s="23"/>
      <c r="N109" s="23"/>
      <c r="O109" s="23"/>
      <c r="P109" s="23"/>
    </row>
    <row r="110" spans="1:16" ht="15.75" thickBot="1" x14ac:dyDescent="0.3">
      <c r="A110" s="58"/>
      <c r="B110" s="61"/>
      <c r="C110" s="16">
        <v>2</v>
      </c>
      <c r="D110" s="32"/>
      <c r="E110" s="33"/>
      <c r="F110" s="29"/>
      <c r="G110" s="56"/>
      <c r="H110" s="49"/>
      <c r="I110" s="23"/>
      <c r="J110" s="23"/>
      <c r="K110" s="23"/>
      <c r="L110" s="23"/>
      <c r="M110" s="23"/>
      <c r="N110" s="23"/>
      <c r="O110" s="23"/>
      <c r="P110" s="23"/>
    </row>
    <row r="111" spans="1:16" ht="15.75" thickBot="1" x14ac:dyDescent="0.3">
      <c r="A111" s="59"/>
      <c r="B111" s="62"/>
      <c r="C111" s="17">
        <v>3</v>
      </c>
      <c r="D111" s="43"/>
      <c r="E111" s="44"/>
      <c r="F111" s="45"/>
      <c r="G111" s="56"/>
      <c r="H111" s="49"/>
      <c r="I111" s="23"/>
      <c r="J111" s="23"/>
      <c r="K111" s="23"/>
      <c r="L111" s="23"/>
      <c r="M111" s="23"/>
      <c r="N111" s="23"/>
      <c r="O111" s="23"/>
      <c r="P111" s="23"/>
    </row>
    <row r="112" spans="1:16" ht="15.75" thickBot="1" x14ac:dyDescent="0.3">
      <c r="A112" s="57"/>
      <c r="B112" s="60"/>
      <c r="C112" s="15">
        <v>1</v>
      </c>
      <c r="D112" s="30"/>
      <c r="E112" s="31"/>
      <c r="F112" s="28"/>
      <c r="G112" s="56"/>
      <c r="H112" s="49"/>
      <c r="I112" s="23"/>
      <c r="J112" s="23"/>
      <c r="K112" s="23"/>
      <c r="L112" s="23"/>
      <c r="M112" s="23"/>
      <c r="N112" s="23"/>
      <c r="O112" s="23"/>
      <c r="P112" s="23"/>
    </row>
    <row r="113" spans="1:16" ht="15.75" thickBot="1" x14ac:dyDescent="0.3">
      <c r="A113" s="58"/>
      <c r="B113" s="61"/>
      <c r="C113" s="16">
        <v>2</v>
      </c>
      <c r="D113" s="32"/>
      <c r="E113" s="33"/>
      <c r="F113" s="29"/>
      <c r="G113" s="56"/>
      <c r="H113" s="49"/>
      <c r="I113" s="23"/>
      <c r="J113" s="23"/>
      <c r="K113" s="23"/>
      <c r="L113" s="23"/>
      <c r="M113" s="23"/>
      <c r="N113" s="23"/>
      <c r="O113" s="23"/>
      <c r="P113" s="23"/>
    </row>
    <row r="114" spans="1:16" ht="15.75" thickBot="1" x14ac:dyDescent="0.3">
      <c r="A114" s="59"/>
      <c r="B114" s="62"/>
      <c r="C114" s="17">
        <v>3</v>
      </c>
      <c r="D114" s="43"/>
      <c r="E114" s="44"/>
      <c r="F114" s="45"/>
      <c r="G114" s="56"/>
      <c r="H114" s="49"/>
      <c r="I114" s="23"/>
      <c r="J114" s="23"/>
      <c r="K114" s="23"/>
      <c r="L114" s="23"/>
      <c r="M114" s="23"/>
      <c r="N114" s="23"/>
      <c r="O114" s="23"/>
      <c r="P114" s="23"/>
    </row>
    <row r="115" spans="1:16" ht="15.75" thickBot="1" x14ac:dyDescent="0.3">
      <c r="A115" s="57"/>
      <c r="B115" s="60"/>
      <c r="C115" s="15">
        <v>1</v>
      </c>
      <c r="D115" s="30"/>
      <c r="E115" s="31"/>
      <c r="F115" s="28"/>
      <c r="G115" s="56"/>
      <c r="H115" s="49"/>
      <c r="I115" s="23"/>
      <c r="J115" s="23"/>
      <c r="K115" s="23"/>
      <c r="L115" s="23"/>
      <c r="M115" s="23"/>
      <c r="N115" s="23"/>
      <c r="O115" s="23"/>
      <c r="P115" s="23"/>
    </row>
    <row r="116" spans="1:16" ht="15.75" thickBot="1" x14ac:dyDescent="0.3">
      <c r="A116" s="58"/>
      <c r="B116" s="61"/>
      <c r="C116" s="16">
        <v>2</v>
      </c>
      <c r="D116" s="32"/>
      <c r="E116" s="33"/>
      <c r="F116" s="29"/>
      <c r="G116" s="56"/>
      <c r="H116" s="49"/>
      <c r="I116" s="23"/>
      <c r="J116" s="23"/>
      <c r="K116" s="23"/>
      <c r="L116" s="23"/>
      <c r="M116" s="23"/>
      <c r="N116" s="23"/>
      <c r="O116" s="23"/>
      <c r="P116" s="23"/>
    </row>
    <row r="117" spans="1:16" ht="15.75" thickBot="1" x14ac:dyDescent="0.3">
      <c r="A117" s="59"/>
      <c r="B117" s="62"/>
      <c r="C117" s="17">
        <v>3</v>
      </c>
      <c r="D117" s="43"/>
      <c r="E117" s="44"/>
      <c r="F117" s="45"/>
      <c r="G117" s="56"/>
      <c r="H117" s="49"/>
      <c r="I117" s="23"/>
      <c r="J117" s="23"/>
      <c r="K117" s="23"/>
      <c r="L117" s="23"/>
      <c r="M117" s="23"/>
      <c r="N117" s="23"/>
      <c r="O117" s="23"/>
      <c r="P117" s="23"/>
    </row>
    <row r="118" spans="1:16" ht="15.75" thickBot="1" x14ac:dyDescent="0.3">
      <c r="A118" s="57"/>
      <c r="B118" s="60"/>
      <c r="C118" s="15">
        <v>1</v>
      </c>
      <c r="D118" s="30"/>
      <c r="E118" s="31"/>
      <c r="F118" s="46"/>
      <c r="G118" s="56"/>
      <c r="H118" s="49"/>
      <c r="I118" s="23"/>
      <c r="J118" s="23"/>
      <c r="K118" s="23"/>
      <c r="L118" s="23"/>
      <c r="M118" s="23"/>
      <c r="N118" s="23"/>
      <c r="O118" s="23"/>
      <c r="P118" s="23"/>
    </row>
    <row r="119" spans="1:16" ht="15.75" thickBot="1" x14ac:dyDescent="0.3">
      <c r="A119" s="58"/>
      <c r="B119" s="61"/>
      <c r="C119" s="16">
        <v>2</v>
      </c>
      <c r="D119" s="32"/>
      <c r="E119" s="33"/>
      <c r="F119" s="47"/>
      <c r="G119" s="56"/>
      <c r="H119" s="49"/>
      <c r="I119" s="23"/>
      <c r="J119" s="23"/>
      <c r="K119" s="23"/>
      <c r="L119" s="23"/>
      <c r="M119" s="23"/>
      <c r="N119" s="23"/>
      <c r="O119" s="23"/>
      <c r="P119" s="23"/>
    </row>
    <row r="120" spans="1:16" ht="15.75" thickBot="1" x14ac:dyDescent="0.3">
      <c r="A120" s="59"/>
      <c r="B120" s="62"/>
      <c r="C120" s="17">
        <v>3</v>
      </c>
      <c r="D120" s="43"/>
      <c r="E120" s="44"/>
      <c r="F120" s="50"/>
      <c r="G120" s="56"/>
      <c r="H120" s="49"/>
      <c r="I120" s="23"/>
      <c r="J120" s="23"/>
      <c r="K120" s="23"/>
      <c r="L120" s="23"/>
      <c r="M120" s="23"/>
      <c r="N120" s="23"/>
      <c r="O120" s="23"/>
      <c r="P120" s="23"/>
    </row>
    <row r="121" spans="1:16" ht="15.75" thickBot="1" x14ac:dyDescent="0.3">
      <c r="A121" s="57"/>
      <c r="B121" s="60"/>
      <c r="C121" s="15">
        <v>1</v>
      </c>
      <c r="D121" s="30"/>
      <c r="E121" s="31"/>
      <c r="F121" s="28"/>
      <c r="G121" s="56"/>
      <c r="H121" s="49"/>
      <c r="I121" s="23"/>
      <c r="J121" s="23"/>
      <c r="K121" s="23"/>
      <c r="L121" s="23"/>
      <c r="M121" s="23"/>
      <c r="N121" s="23"/>
      <c r="O121" s="23"/>
      <c r="P121" s="23"/>
    </row>
    <row r="122" spans="1:16" ht="15.75" thickBot="1" x14ac:dyDescent="0.3">
      <c r="A122" s="58"/>
      <c r="B122" s="61"/>
      <c r="C122" s="16">
        <v>2</v>
      </c>
      <c r="D122" s="32"/>
      <c r="E122" s="33"/>
      <c r="F122" s="29"/>
      <c r="G122" s="56"/>
      <c r="H122" s="49"/>
      <c r="I122" s="23"/>
      <c r="J122" s="23"/>
      <c r="K122" s="23"/>
      <c r="L122" s="23"/>
      <c r="M122" s="23"/>
      <c r="N122" s="23"/>
      <c r="O122" s="23"/>
      <c r="P122" s="23"/>
    </row>
    <row r="123" spans="1:16" ht="15.75" thickBot="1" x14ac:dyDescent="0.3">
      <c r="A123" s="59"/>
      <c r="B123" s="62"/>
      <c r="C123" s="17">
        <v>3</v>
      </c>
      <c r="D123" s="43"/>
      <c r="E123" s="44"/>
      <c r="F123" s="45"/>
      <c r="G123" s="56"/>
      <c r="H123" s="49"/>
      <c r="I123" s="23"/>
      <c r="J123" s="23"/>
      <c r="K123" s="23"/>
      <c r="L123" s="23"/>
      <c r="M123" s="23"/>
      <c r="N123" s="23"/>
      <c r="O123" s="23"/>
      <c r="P123" s="23"/>
    </row>
    <row r="124" spans="1:16" ht="15.75" thickBot="1" x14ac:dyDescent="0.3">
      <c r="A124" s="57"/>
      <c r="B124" s="60"/>
      <c r="C124" s="15">
        <v>1</v>
      </c>
      <c r="D124" s="30"/>
      <c r="E124" s="31"/>
      <c r="F124" s="46"/>
      <c r="G124" s="56"/>
      <c r="H124" s="49"/>
      <c r="I124" s="23"/>
      <c r="J124" s="23"/>
      <c r="K124" s="23"/>
      <c r="L124" s="23"/>
      <c r="M124" s="23"/>
      <c r="N124" s="23"/>
      <c r="O124" s="23"/>
      <c r="P124" s="23"/>
    </row>
    <row r="125" spans="1:16" ht="15.75" thickBot="1" x14ac:dyDescent="0.3">
      <c r="A125" s="58"/>
      <c r="B125" s="61"/>
      <c r="C125" s="16">
        <v>2</v>
      </c>
      <c r="D125" s="32"/>
      <c r="E125" s="33"/>
      <c r="F125" s="47"/>
      <c r="G125" s="56"/>
      <c r="H125" s="49"/>
      <c r="I125" s="23"/>
      <c r="J125" s="23"/>
      <c r="K125" s="23"/>
      <c r="L125" s="23"/>
      <c r="M125" s="23"/>
      <c r="N125" s="23"/>
      <c r="O125" s="23"/>
      <c r="P125" s="23"/>
    </row>
    <row r="126" spans="1:16" ht="15.75" thickBot="1" x14ac:dyDescent="0.3">
      <c r="A126" s="59"/>
      <c r="B126" s="62"/>
      <c r="C126" s="17">
        <v>3</v>
      </c>
      <c r="D126" s="43"/>
      <c r="E126" s="44"/>
      <c r="F126" s="50"/>
      <c r="G126" s="56"/>
      <c r="H126" s="49"/>
      <c r="I126" s="23"/>
      <c r="J126" s="23"/>
      <c r="K126" s="23"/>
      <c r="L126" s="23"/>
      <c r="M126" s="23"/>
      <c r="N126" s="23"/>
      <c r="O126" s="23"/>
      <c r="P126" s="23"/>
    </row>
    <row r="127" spans="1:16" x14ac:dyDescent="0.25">
      <c r="A127" s="23"/>
      <c r="B127" s="23"/>
    </row>
    <row r="128" spans="1:16" x14ac:dyDescent="0.25">
      <c r="A128" s="23"/>
      <c r="B128" s="23"/>
    </row>
    <row r="129" spans="1:2" x14ac:dyDescent="0.25">
      <c r="A129" s="23"/>
      <c r="B129" s="23"/>
    </row>
    <row r="130" spans="1:2" x14ac:dyDescent="0.25">
      <c r="A130" s="23"/>
      <c r="B130" s="23"/>
    </row>
    <row r="131" spans="1:2" x14ac:dyDescent="0.25">
      <c r="A131" s="23"/>
      <c r="B131" s="23"/>
    </row>
    <row r="132" spans="1:2" x14ac:dyDescent="0.25">
      <c r="A132" s="23"/>
      <c r="B132" s="23"/>
    </row>
    <row r="133" spans="1:2" x14ac:dyDescent="0.25">
      <c r="A133" s="23"/>
      <c r="B133" s="23"/>
    </row>
    <row r="134" spans="1:2" x14ac:dyDescent="0.25">
      <c r="A134" s="23"/>
      <c r="B134" s="23"/>
    </row>
    <row r="135" spans="1:2" x14ac:dyDescent="0.25">
      <c r="A135" s="23"/>
      <c r="B135" s="23"/>
    </row>
    <row r="136" spans="1:2" x14ac:dyDescent="0.25">
      <c r="A136" s="23"/>
      <c r="B136" s="23"/>
    </row>
    <row r="137" spans="1:2" x14ac:dyDescent="0.25">
      <c r="A137" s="23"/>
      <c r="B137" s="23"/>
    </row>
    <row r="138" spans="1:2" x14ac:dyDescent="0.25">
      <c r="A138" s="23"/>
      <c r="B138" s="23"/>
    </row>
    <row r="139" spans="1:2" x14ac:dyDescent="0.25">
      <c r="A139" s="23"/>
      <c r="B139" s="23"/>
    </row>
    <row r="140" spans="1:2" x14ac:dyDescent="0.25">
      <c r="A140" s="23"/>
      <c r="B140" s="23"/>
    </row>
    <row r="141" spans="1:2" x14ac:dyDescent="0.25">
      <c r="A141" s="23"/>
      <c r="B141" s="23"/>
    </row>
    <row r="142" spans="1:2" x14ac:dyDescent="0.25">
      <c r="A142" s="23"/>
      <c r="B142" s="23"/>
    </row>
    <row r="143" spans="1:2" x14ac:dyDescent="0.25">
      <c r="A143" s="23"/>
      <c r="B143" s="23"/>
    </row>
    <row r="144" spans="1:2" x14ac:dyDescent="0.25">
      <c r="A144" s="23"/>
      <c r="B144" s="23"/>
    </row>
    <row r="145" spans="1:2" x14ac:dyDescent="0.25">
      <c r="A145" s="23"/>
      <c r="B145" s="23"/>
    </row>
    <row r="146" spans="1:2" x14ac:dyDescent="0.25">
      <c r="A146" s="23"/>
      <c r="B146" s="23"/>
    </row>
    <row r="147" spans="1:2" x14ac:dyDescent="0.25">
      <c r="A147" s="23"/>
      <c r="B147" s="23"/>
    </row>
    <row r="148" spans="1:2" x14ac:dyDescent="0.25">
      <c r="A148" s="23"/>
      <c r="B148" s="23"/>
    </row>
    <row r="149" spans="1:2" x14ac:dyDescent="0.25">
      <c r="A149" s="23"/>
      <c r="B149" s="23"/>
    </row>
    <row r="150" spans="1:2" x14ac:dyDescent="0.25">
      <c r="A150" s="23"/>
      <c r="B150" s="23"/>
    </row>
    <row r="151" spans="1:2" x14ac:dyDescent="0.25">
      <c r="A151" s="23"/>
      <c r="B151" s="23"/>
    </row>
    <row r="152" spans="1:2" x14ac:dyDescent="0.25">
      <c r="A152" s="23"/>
      <c r="B152" s="23"/>
    </row>
    <row r="153" spans="1:2" x14ac:dyDescent="0.25">
      <c r="A153" s="23"/>
      <c r="B153" s="23"/>
    </row>
    <row r="154" spans="1:2" x14ac:dyDescent="0.25">
      <c r="A154" s="23"/>
      <c r="B154" s="23"/>
    </row>
    <row r="155" spans="1:2" x14ac:dyDescent="0.25">
      <c r="A155" s="23"/>
      <c r="B155" s="23"/>
    </row>
    <row r="156" spans="1:2" x14ac:dyDescent="0.25">
      <c r="A156" s="23"/>
      <c r="B156" s="23"/>
    </row>
    <row r="157" spans="1:2" x14ac:dyDescent="0.25">
      <c r="A157" s="23"/>
      <c r="B157" s="23"/>
    </row>
    <row r="158" spans="1:2" x14ac:dyDescent="0.25">
      <c r="A158" s="23"/>
      <c r="B158" s="23"/>
    </row>
    <row r="159" spans="1:2" x14ac:dyDescent="0.25">
      <c r="A159" s="23"/>
      <c r="B159" s="23"/>
    </row>
    <row r="160" spans="1:2" x14ac:dyDescent="0.25">
      <c r="A160" s="23"/>
      <c r="B160" s="23"/>
    </row>
    <row r="161" spans="1:2" x14ac:dyDescent="0.25">
      <c r="A161" s="23"/>
      <c r="B161" s="23"/>
    </row>
    <row r="162" spans="1:2" x14ac:dyDescent="0.25">
      <c r="A162" s="23"/>
      <c r="B162" s="23"/>
    </row>
    <row r="163" spans="1:2" x14ac:dyDescent="0.25">
      <c r="A163" s="23"/>
      <c r="B163" s="23"/>
    </row>
    <row r="164" spans="1:2" x14ac:dyDescent="0.25">
      <c r="A164" s="23"/>
      <c r="B164" s="23"/>
    </row>
    <row r="165" spans="1:2" x14ac:dyDescent="0.25">
      <c r="A165" s="23"/>
      <c r="B165" s="23"/>
    </row>
    <row r="166" spans="1:2" x14ac:dyDescent="0.25">
      <c r="A166" s="23"/>
      <c r="B166" s="23"/>
    </row>
    <row r="167" spans="1:2" x14ac:dyDescent="0.25">
      <c r="A167" s="23"/>
      <c r="B167" s="23"/>
    </row>
    <row r="168" spans="1:2" x14ac:dyDescent="0.25">
      <c r="A168" s="23"/>
      <c r="B168" s="23"/>
    </row>
    <row r="169" spans="1:2" x14ac:dyDescent="0.25">
      <c r="A169" s="23"/>
      <c r="B169" s="23"/>
    </row>
    <row r="170" spans="1:2" x14ac:dyDescent="0.25">
      <c r="A170" s="23"/>
      <c r="B170" s="23"/>
    </row>
    <row r="171" spans="1:2" x14ac:dyDescent="0.25">
      <c r="A171" s="23"/>
      <c r="B171" s="23"/>
    </row>
    <row r="172" spans="1:2" x14ac:dyDescent="0.25">
      <c r="A172" s="23"/>
      <c r="B172" s="23"/>
    </row>
    <row r="173" spans="1:2" x14ac:dyDescent="0.25">
      <c r="A173" s="23"/>
      <c r="B173" s="23"/>
    </row>
    <row r="174" spans="1:2" x14ac:dyDescent="0.25">
      <c r="A174" s="23"/>
      <c r="B174" s="23"/>
    </row>
    <row r="175" spans="1:2" x14ac:dyDescent="0.25">
      <c r="A175" s="23"/>
      <c r="B175" s="23"/>
    </row>
    <row r="176" spans="1:2" x14ac:dyDescent="0.25">
      <c r="A176" s="23"/>
      <c r="B176" s="23"/>
    </row>
    <row r="177" spans="1:2" x14ac:dyDescent="0.25">
      <c r="A177" s="23"/>
      <c r="B177" s="23"/>
    </row>
    <row r="178" spans="1:2" x14ac:dyDescent="0.25">
      <c r="A178" s="23"/>
      <c r="B178" s="23"/>
    </row>
    <row r="179" spans="1:2" x14ac:dyDescent="0.25">
      <c r="A179" s="23"/>
      <c r="B179" s="23"/>
    </row>
    <row r="180" spans="1:2" x14ac:dyDescent="0.25">
      <c r="A180" s="23"/>
      <c r="B180" s="23"/>
    </row>
    <row r="181" spans="1:2" x14ac:dyDescent="0.25">
      <c r="A181" s="23"/>
      <c r="B181" s="23"/>
    </row>
    <row r="182" spans="1:2" x14ac:dyDescent="0.25">
      <c r="A182" s="23"/>
      <c r="B182" s="23"/>
    </row>
    <row r="183" spans="1:2" x14ac:dyDescent="0.25">
      <c r="A183" s="23"/>
      <c r="B183" s="23"/>
    </row>
    <row r="184" spans="1:2" x14ac:dyDescent="0.25">
      <c r="A184" s="23"/>
      <c r="B184" s="23"/>
    </row>
    <row r="185" spans="1:2" x14ac:dyDescent="0.25">
      <c r="A185" s="23"/>
      <c r="B185" s="23"/>
    </row>
    <row r="186" spans="1:2" x14ac:dyDescent="0.25">
      <c r="A186" s="23"/>
      <c r="B186" s="23"/>
    </row>
    <row r="187" spans="1:2" x14ac:dyDescent="0.25">
      <c r="A187" s="23"/>
      <c r="B187" s="23"/>
    </row>
    <row r="188" spans="1:2" x14ac:dyDescent="0.25">
      <c r="A188" s="23"/>
      <c r="B188" s="23"/>
    </row>
    <row r="189" spans="1:2" x14ac:dyDescent="0.25">
      <c r="A189" s="23"/>
      <c r="B189" s="23"/>
    </row>
    <row r="190" spans="1:2" x14ac:dyDescent="0.25">
      <c r="A190" s="23"/>
      <c r="B190" s="23"/>
    </row>
    <row r="191" spans="1:2" x14ac:dyDescent="0.25">
      <c r="A191" s="23"/>
      <c r="B191" s="23"/>
    </row>
    <row r="192" spans="1:2" x14ac:dyDescent="0.25">
      <c r="A192" s="23"/>
      <c r="B192" s="23"/>
    </row>
    <row r="193" spans="1:2" x14ac:dyDescent="0.25">
      <c r="A193" s="23"/>
      <c r="B193" s="23"/>
    </row>
    <row r="194" spans="1:2" x14ac:dyDescent="0.25">
      <c r="A194" s="23"/>
      <c r="B194" s="23"/>
    </row>
    <row r="195" spans="1:2" x14ac:dyDescent="0.25">
      <c r="A195" s="23"/>
      <c r="B195" s="23"/>
    </row>
    <row r="196" spans="1:2" x14ac:dyDescent="0.25">
      <c r="A196" s="23"/>
      <c r="B196" s="23"/>
    </row>
    <row r="197" spans="1:2" x14ac:dyDescent="0.25">
      <c r="A197" s="23"/>
      <c r="B197" s="23"/>
    </row>
    <row r="198" spans="1:2" x14ac:dyDescent="0.25">
      <c r="A198" s="23"/>
      <c r="B198" s="23"/>
    </row>
    <row r="199" spans="1:2" x14ac:dyDescent="0.25">
      <c r="A199" s="23"/>
      <c r="B199" s="23"/>
    </row>
    <row r="200" spans="1:2" x14ac:dyDescent="0.25">
      <c r="A200" s="23"/>
      <c r="B200" s="23"/>
    </row>
    <row r="201" spans="1:2" x14ac:dyDescent="0.25">
      <c r="A201" s="23"/>
      <c r="B201" s="23"/>
    </row>
    <row r="202" spans="1:2" x14ac:dyDescent="0.25">
      <c r="A202" s="23"/>
      <c r="B202" s="23"/>
    </row>
    <row r="203" spans="1:2" x14ac:dyDescent="0.25">
      <c r="A203" s="23"/>
      <c r="B203" s="23"/>
    </row>
    <row r="204" spans="1:2" x14ac:dyDescent="0.25">
      <c r="A204" s="23"/>
      <c r="B204" s="23"/>
    </row>
    <row r="205" spans="1:2" x14ac:dyDescent="0.25">
      <c r="A205" s="23"/>
      <c r="B205" s="23"/>
    </row>
  </sheetData>
  <sheetProtection algorithmName="SHA-512" hashValue="vkTOigRL+z/sTqvy6gnsMyxFPNyOwAoRGYkis5augX4TPchacRN1hApB07d9fVQS0LTBPCG+am+cvNNN8SrtHw==" saltValue="Oqvfi68HATlvDE01pNyygw==" spinCount="100000" sheet="1" objects="1" scenarios="1"/>
  <autoFilter ref="A12:H126" xr:uid="{00000000-0009-0000-0000-000000000000}"/>
  <mergeCells count="81">
    <mergeCell ref="B103:B105"/>
    <mergeCell ref="A88:A90"/>
    <mergeCell ref="A79:A81"/>
    <mergeCell ref="B79:B81"/>
    <mergeCell ref="A82:A84"/>
    <mergeCell ref="B82:B84"/>
    <mergeCell ref="A85:A87"/>
    <mergeCell ref="B85:B87"/>
    <mergeCell ref="H8:H9"/>
    <mergeCell ref="A115:A117"/>
    <mergeCell ref="B115:B117"/>
    <mergeCell ref="A118:A120"/>
    <mergeCell ref="B118:B120"/>
    <mergeCell ref="A106:A108"/>
    <mergeCell ref="B106:B108"/>
    <mergeCell ref="A109:A111"/>
    <mergeCell ref="B109:B111"/>
    <mergeCell ref="A112:A114"/>
    <mergeCell ref="B112:B114"/>
    <mergeCell ref="A97:A99"/>
    <mergeCell ref="B97:B99"/>
    <mergeCell ref="A100:A102"/>
    <mergeCell ref="B100:B102"/>
    <mergeCell ref="A103:A105"/>
    <mergeCell ref="B70:B72"/>
    <mergeCell ref="A73:A75"/>
    <mergeCell ref="B73:B75"/>
    <mergeCell ref="A76:A78"/>
    <mergeCell ref="B76:B78"/>
    <mergeCell ref="A49:A51"/>
    <mergeCell ref="B49:B51"/>
    <mergeCell ref="A52:A54"/>
    <mergeCell ref="B52:B54"/>
    <mergeCell ref="A43:A45"/>
    <mergeCell ref="B43:B45"/>
    <mergeCell ref="A46:A48"/>
    <mergeCell ref="B46:B48"/>
    <mergeCell ref="A19:A21"/>
    <mergeCell ref="B19:B21"/>
    <mergeCell ref="A22:A24"/>
    <mergeCell ref="B22:B24"/>
    <mergeCell ref="A40:A42"/>
    <mergeCell ref="B40:B42"/>
    <mergeCell ref="A37:A39"/>
    <mergeCell ref="B37:B39"/>
    <mergeCell ref="A31:A33"/>
    <mergeCell ref="B31:B33"/>
    <mergeCell ref="A34:A36"/>
    <mergeCell ref="B34:B36"/>
    <mergeCell ref="G8:G9"/>
    <mergeCell ref="C8:C9"/>
    <mergeCell ref="D8:E9"/>
    <mergeCell ref="F8:F9"/>
    <mergeCell ref="A55:A57"/>
    <mergeCell ref="B55:B57"/>
    <mergeCell ref="A16:A18"/>
    <mergeCell ref="B16:B18"/>
    <mergeCell ref="A13:A15"/>
    <mergeCell ref="B13:B15"/>
    <mergeCell ref="A8:A9"/>
    <mergeCell ref="B8:B9"/>
    <mergeCell ref="A28:A30"/>
    <mergeCell ref="B28:B30"/>
    <mergeCell ref="A25:A27"/>
    <mergeCell ref="B25:B27"/>
    <mergeCell ref="A121:A123"/>
    <mergeCell ref="B121:B123"/>
    <mergeCell ref="A124:A126"/>
    <mergeCell ref="B124:B126"/>
    <mergeCell ref="A58:A60"/>
    <mergeCell ref="B58:B60"/>
    <mergeCell ref="B88:B90"/>
    <mergeCell ref="A91:A93"/>
    <mergeCell ref="B91:B93"/>
    <mergeCell ref="A94:A96"/>
    <mergeCell ref="B94:B96"/>
    <mergeCell ref="A61:A63"/>
    <mergeCell ref="B61:B63"/>
    <mergeCell ref="B64:B66"/>
    <mergeCell ref="B67:B69"/>
    <mergeCell ref="A70:A72"/>
  </mergeCells>
  <phoneticPr fontId="9" type="noConversion"/>
  <conditionalFormatting sqref="F10">
    <cfRule type="cellIs" dxfId="7" priority="14" operator="equal">
      <formula>0</formula>
    </cfRule>
    <cfRule type="cellIs" dxfId="6" priority="15" operator="lessThan">
      <formula>130</formula>
    </cfRule>
  </conditionalFormatting>
  <conditionalFormatting sqref="F12:F14 F16:F17 F19:F20 F22:F23 F25:F26 F28:F29 F31:F32 F34:F35 F37:F38 F40:F41 F43:F44 F46:F47 F49:F50 F52:F53 F55:F56 F58:F59 F61:F62 F64:F65 F67:F71 F73:F74 F76:F77 F82:F83 F85:F86 F88:F89 F91:F92 F94:F95 F97:F98 F100:F101 F103:F104 F106:F107 F109:F126">
    <cfRule type="cellIs" dxfId="5" priority="8" operator="greaterThan">
      <formula>170</formula>
    </cfRule>
  </conditionalFormatting>
  <conditionalFormatting sqref="F13:F14 F16:F17 F19:F20 F22:F23 F25:F26 F28:F29 F31:F32 F34:F35 F37:F38 F40:F41 F43:F44 F46:F47 F49:F50 F52:F53 F55:F56 F58:F59 F61:F62 F64:F65 F67:F71 F73:F74 F76:F77 F82:F83 F85:F86 F88:F89 F91:F92 F94:F95 F97:F98 F100:F101 F103:F104 F106:F107 F109:F126">
    <cfRule type="cellIs" dxfId="4" priority="7" operator="equal">
      <formula>0</formula>
    </cfRule>
    <cfRule type="cellIs" dxfId="3" priority="9" operator="lessThan">
      <formula>130</formula>
    </cfRule>
  </conditionalFormatting>
  <conditionalFormatting sqref="F79:F80">
    <cfRule type="cellIs" dxfId="2" priority="1" operator="equal">
      <formula>0</formula>
    </cfRule>
    <cfRule type="cellIs" dxfId="1" priority="2" operator="greaterThan">
      <formula>170</formula>
    </cfRule>
    <cfRule type="cellIs" dxfId="0" priority="3" operator="lessThan">
      <formula>130</formula>
    </cfRule>
  </conditionalFormatting>
  <pageMargins left="0.70866141732283472" right="0.70866141732283472" top="0.74803149606299213" bottom="0.74803149606299213" header="0.31496062992125984" footer="0.31496062992125984"/>
  <pageSetup paperSize="9" scale="8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Tabelle1</vt:lpstr>
      <vt:lpstr>Tabelle1!Druckbereich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Oldenburger, Eugen</dc:creator>
  <cp:lastModifiedBy>Sugi.4</cp:lastModifiedBy>
  <cp:lastPrinted>2025-10-11T07:11:02Z</cp:lastPrinted>
  <dcterms:created xsi:type="dcterms:W3CDTF">2015-06-05T18:19:34Z</dcterms:created>
  <dcterms:modified xsi:type="dcterms:W3CDTF">2026-03-27T20:15:04Z</dcterms:modified>
</cp:coreProperties>
</file>