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X:\Produktion\1_Artikel\1_Marke\31962\IPC_Etiketten_Packliste\"/>
    </mc:Choice>
  </mc:AlternateContent>
  <xr:revisionPtr revIDLastSave="0" documentId="13_ncr:1_{4E8289A5-4554-4AD3-B689-163FF36AFD58}" xr6:coauthVersionLast="47" xr6:coauthVersionMax="47" xr10:uidLastSave="{00000000-0000-0000-0000-000000000000}"/>
  <workbookProtection workbookAlgorithmName="SHA-512" workbookHashValue="yrNcbWYE1dPbAoJloAQwS0/5rxTf+qz2pbLvi7BpPdYxtEEZItxMK1PreEHWIukmvZW4pBFHpPX6y31D3p/wDg==" workbookSaltValue="67AVBMQ8KZDQzYjHdlNnbw==" workbookSpinCount="100000" lockStructure="1"/>
  <bookViews>
    <workbookView xWindow="-108" yWindow="-108" windowWidth="23256" windowHeight="12576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  <c r="B4" i="1"/>
  <c r="E12" i="1" l="1"/>
  <c r="E10" i="1"/>
  <c r="E11" i="1"/>
  <c r="D11" i="1"/>
  <c r="D12" i="1"/>
  <c r="D10" i="1"/>
</calcChain>
</file>

<file path=xl/sharedStrings.xml><?xml version="1.0" encoding="utf-8"?>
<sst xmlns="http://schemas.openxmlformats.org/spreadsheetml/2006/main" count="50" uniqueCount="28">
  <si>
    <t>Rollen Nr.</t>
  </si>
  <si>
    <t>Datum, Unterschrift</t>
  </si>
  <si>
    <t>Exp- Date:</t>
  </si>
  <si>
    <t>LOT:</t>
  </si>
  <si>
    <t>Min</t>
  </si>
  <si>
    <t>Max</t>
  </si>
  <si>
    <t>Mittelwert</t>
  </si>
  <si>
    <t>-</t>
  </si>
  <si>
    <t>Prüfmittel:</t>
  </si>
  <si>
    <t>IPC Vorschneiden</t>
  </si>
  <si>
    <r>
      <t xml:space="preserve">ASK Soll:
</t>
    </r>
    <r>
      <rPr>
        <sz val="11"/>
        <color theme="1"/>
        <rFont val="Calibri"/>
        <family val="2"/>
      </rPr>
      <t>≥</t>
    </r>
    <r>
      <rPr>
        <sz val="11"/>
        <color theme="1"/>
        <rFont val="Calibri"/>
        <family val="2"/>
        <scheme val="minor"/>
      </rPr>
      <t>1000% (Ja/Nein)</t>
    </r>
  </si>
  <si>
    <t>REF 31962</t>
  </si>
  <si>
    <t xml:space="preserve">Sugi Instrument Wipe, 80x80mm, none-sterile, 250 pcs. </t>
  </si>
  <si>
    <t>Arbeitsmaßstab:</t>
  </si>
  <si>
    <t>LOT 50814 / 
LOT 50814.D</t>
  </si>
  <si>
    <t>30.09.2024 S. Rüther</t>
  </si>
  <si>
    <t>Breite der Bahn Bahn 
Soll: 180 - 190 mm</t>
  </si>
  <si>
    <t>50-2  20.03.2026 Walter</t>
  </si>
  <si>
    <t>188B</t>
  </si>
  <si>
    <t>ja</t>
  </si>
  <si>
    <t>20.03.2026 Walter</t>
  </si>
  <si>
    <t>186B</t>
  </si>
  <si>
    <t>183B</t>
  </si>
  <si>
    <t>23.03.2026 Walter</t>
  </si>
  <si>
    <t>185B</t>
  </si>
  <si>
    <t>184B</t>
  </si>
  <si>
    <t>182B</t>
  </si>
  <si>
    <t>187B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</si>
</sst>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Protection="1"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0" fontId="0" fillId="0" borderId="20" xfId="0" applyBorder="1" applyProtection="1">
      <protection locked="0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3" fillId="0" borderId="0" xfId="0" applyNumberFormat="1" applyFont="1"/>
    <xf numFmtId="0" fontId="2" fillId="2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13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0" fontId="0" fillId="2" borderId="14" xfId="0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horizontal="right"/>
      <protection locked="0"/>
    </xf>
    <xf numFmtId="0" fontId="6" fillId="0" borderId="0" xfId="0" applyFont="1" applyAlignment="1">
      <alignment horizontal="left"/>
    </xf>
    <xf numFmtId="14" fontId="0" fillId="0" borderId="2" xfId="0" applyNumberFormat="1" applyBorder="1" applyProtection="1">
      <protection locked="0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/>
    </xf>
  </cellXfs>
  <cellStyles count="1">
    <cellStyle name="Standard" xfId="0" builtinId="0"/>
  </cellStyles>
  <dxfs count="5"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X:\Produktion\1_Artikel\1_Marke\31962\IPC_Etiketten_Packliste\Vorlage%20Etikett.xlsx" TargetMode="External"/><Relationship Id="rId1" Type="http://schemas.openxmlformats.org/officeDocument/2006/relationships/externalLinkPath" Target="Vorlage%20Etiket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  <sheetName val="Tabelle2"/>
      <sheetName val="Tabelle3"/>
    </sheetNames>
    <sheetDataSet>
      <sheetData sheetId="0">
        <row r="2">
          <cell r="A2" t="str">
            <v>2031-02-28</v>
          </cell>
          <cell r="B2">
            <v>265321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8"/>
  <sheetViews>
    <sheetView tabSelected="1" workbookViewId="0">
      <selection activeCell="L16" sqref="L16"/>
    </sheetView>
  </sheetViews>
  <sheetFormatPr baseColWidth="10" defaultColWidth="9.109375" defaultRowHeight="14.4" x14ac:dyDescent="0.3"/>
  <cols>
    <col min="1" max="1" width="13.109375" customWidth="1"/>
    <col min="2" max="2" width="14.88671875" customWidth="1"/>
    <col min="3" max="3" width="18.88671875" customWidth="1"/>
    <col min="4" max="4" width="12" customWidth="1"/>
    <col min="5" max="5" width="14.88671875" customWidth="1"/>
    <col min="6" max="6" width="29.109375" customWidth="1"/>
    <col min="7" max="7" width="12.88671875" customWidth="1"/>
  </cols>
  <sheetData>
    <row r="1" spans="1:7" x14ac:dyDescent="0.3">
      <c r="A1" s="5" t="s">
        <v>11</v>
      </c>
    </row>
    <row r="2" spans="1:7" x14ac:dyDescent="0.3">
      <c r="A2" s="5" t="s">
        <v>12</v>
      </c>
    </row>
    <row r="3" spans="1:7" x14ac:dyDescent="0.3">
      <c r="A3" s="5"/>
    </row>
    <row r="4" spans="1:7" ht="18" x14ac:dyDescent="0.35">
      <c r="A4" s="5" t="s">
        <v>3</v>
      </c>
      <c r="B4" s="26">
        <f>[1]Tabelle1!$B$2</f>
        <v>265321</v>
      </c>
      <c r="C4" s="6"/>
      <c r="D4" s="7" t="s">
        <v>8</v>
      </c>
      <c r="E4" s="24" t="s">
        <v>13</v>
      </c>
      <c r="F4" s="25" t="s">
        <v>17</v>
      </c>
      <c r="G4" s="1"/>
    </row>
    <row r="5" spans="1:7" ht="18" x14ac:dyDescent="0.35">
      <c r="A5" s="5" t="s">
        <v>2</v>
      </c>
      <c r="B5" s="8" t="str">
        <f>[1]Tabelle1!$A$2</f>
        <v>2031-02-28</v>
      </c>
      <c r="C5" s="9"/>
      <c r="E5" s="1"/>
      <c r="F5" s="1"/>
      <c r="G5" s="1"/>
    </row>
    <row r="6" spans="1:7" x14ac:dyDescent="0.3">
      <c r="A6" s="5"/>
      <c r="B6" s="9"/>
      <c r="C6" s="9"/>
    </row>
    <row r="7" spans="1:7" ht="15" thickBot="1" x14ac:dyDescent="0.35">
      <c r="A7" s="5" t="s">
        <v>9</v>
      </c>
    </row>
    <row r="8" spans="1:7" ht="34.5" customHeight="1" x14ac:dyDescent="0.3">
      <c r="A8" s="28" t="s">
        <v>14</v>
      </c>
      <c r="B8" s="30" t="s">
        <v>0</v>
      </c>
      <c r="C8" s="35" t="s">
        <v>10</v>
      </c>
      <c r="D8" s="31" t="s">
        <v>16</v>
      </c>
      <c r="E8" s="32"/>
      <c r="F8" s="33" t="s">
        <v>1</v>
      </c>
    </row>
    <row r="9" spans="1:7" ht="15.75" customHeight="1" thickBot="1" x14ac:dyDescent="0.35">
      <c r="A9" s="29"/>
      <c r="B9" s="29"/>
      <c r="C9" s="36"/>
      <c r="D9" s="12">
        <v>1</v>
      </c>
      <c r="E9" s="13">
        <v>2</v>
      </c>
      <c r="F9" s="34"/>
    </row>
    <row r="10" spans="1:7" x14ac:dyDescent="0.3">
      <c r="A10" s="14" t="s">
        <v>4</v>
      </c>
      <c r="B10" s="15" t="s">
        <v>7</v>
      </c>
      <c r="C10" s="15" t="s">
        <v>7</v>
      </c>
      <c r="D10" s="16">
        <f>MIN(D13:D56)</f>
        <v>182</v>
      </c>
      <c r="E10" s="16">
        <f>MIN(E13:E56)</f>
        <v>182</v>
      </c>
      <c r="F10" s="17" t="s">
        <v>7</v>
      </c>
    </row>
    <row r="11" spans="1:7" x14ac:dyDescent="0.3">
      <c r="A11" s="18" t="s">
        <v>6</v>
      </c>
      <c r="B11" s="19" t="s">
        <v>7</v>
      </c>
      <c r="C11" s="19" t="s">
        <v>7</v>
      </c>
      <c r="D11" s="20">
        <f>SUBTOTAL(1,D13:D56)</f>
        <v>182.375</v>
      </c>
      <c r="E11" s="20">
        <f t="shared" ref="E11" si="0">SUBTOTAL(1,E13:E56)</f>
        <v>182.25</v>
      </c>
      <c r="F11" s="21" t="s">
        <v>7</v>
      </c>
    </row>
    <row r="12" spans="1:7" ht="15" thickBot="1" x14ac:dyDescent="0.35">
      <c r="A12" s="10" t="s">
        <v>5</v>
      </c>
      <c r="B12" s="11" t="s">
        <v>7</v>
      </c>
      <c r="C12" s="11" t="s">
        <v>7</v>
      </c>
      <c r="D12" s="22">
        <f>MAX(D13:D56)</f>
        <v>183</v>
      </c>
      <c r="E12" s="22">
        <f>MAX(E13:E56)</f>
        <v>183</v>
      </c>
      <c r="F12" s="23" t="s">
        <v>7</v>
      </c>
    </row>
    <row r="13" spans="1:7" ht="15" thickBot="1" x14ac:dyDescent="0.35">
      <c r="A13" s="2">
        <v>1242694</v>
      </c>
      <c r="B13" s="3" t="s">
        <v>18</v>
      </c>
      <c r="C13" s="3" t="s">
        <v>19</v>
      </c>
      <c r="D13" s="4">
        <v>182</v>
      </c>
      <c r="E13" s="4">
        <v>182</v>
      </c>
      <c r="F13" s="27" t="s">
        <v>20</v>
      </c>
    </row>
    <row r="14" spans="1:7" ht="15" thickBot="1" x14ac:dyDescent="0.35">
      <c r="A14" s="2">
        <v>1242694</v>
      </c>
      <c r="B14" s="3" t="s">
        <v>21</v>
      </c>
      <c r="C14" s="3" t="s">
        <v>19</v>
      </c>
      <c r="D14" s="4">
        <v>182</v>
      </c>
      <c r="E14" s="4">
        <v>182</v>
      </c>
      <c r="F14" s="3" t="s">
        <v>20</v>
      </c>
    </row>
    <row r="15" spans="1:7" ht="15" thickBot="1" x14ac:dyDescent="0.35">
      <c r="A15" s="2">
        <v>1242694</v>
      </c>
      <c r="B15" s="3" t="s">
        <v>21</v>
      </c>
      <c r="C15" s="3" t="s">
        <v>19</v>
      </c>
      <c r="D15" s="4">
        <v>183</v>
      </c>
      <c r="E15" s="4">
        <v>183</v>
      </c>
      <c r="F15" s="3" t="s">
        <v>20</v>
      </c>
    </row>
    <row r="16" spans="1:7" ht="15" thickBot="1" x14ac:dyDescent="0.35">
      <c r="A16" s="2">
        <v>1242694</v>
      </c>
      <c r="B16" s="3" t="s">
        <v>22</v>
      </c>
      <c r="C16" s="3" t="s">
        <v>19</v>
      </c>
      <c r="D16" s="4">
        <v>182</v>
      </c>
      <c r="E16" s="4">
        <v>182</v>
      </c>
      <c r="F16" s="3" t="s">
        <v>23</v>
      </c>
    </row>
    <row r="17" spans="1:6" ht="15" thickBot="1" x14ac:dyDescent="0.35">
      <c r="A17" s="2">
        <v>1242694</v>
      </c>
      <c r="B17" s="3" t="s">
        <v>24</v>
      </c>
      <c r="C17" s="3" t="s">
        <v>19</v>
      </c>
      <c r="D17" s="4">
        <v>183</v>
      </c>
      <c r="E17" s="4">
        <v>182</v>
      </c>
      <c r="F17" s="3" t="s">
        <v>23</v>
      </c>
    </row>
    <row r="18" spans="1:6" ht="15" thickBot="1" x14ac:dyDescent="0.35">
      <c r="A18" s="2">
        <v>1242694</v>
      </c>
      <c r="B18" s="3" t="s">
        <v>25</v>
      </c>
      <c r="C18" s="3" t="s">
        <v>19</v>
      </c>
      <c r="D18" s="4">
        <v>182</v>
      </c>
      <c r="E18" s="4">
        <v>182</v>
      </c>
      <c r="F18" s="3" t="s">
        <v>23</v>
      </c>
    </row>
    <row r="19" spans="1:6" ht="15" thickBot="1" x14ac:dyDescent="0.35">
      <c r="A19" s="2">
        <v>1242694</v>
      </c>
      <c r="B19" s="3" t="s">
        <v>26</v>
      </c>
      <c r="C19" s="3" t="s">
        <v>19</v>
      </c>
      <c r="D19" s="4">
        <v>183</v>
      </c>
      <c r="E19" s="4">
        <v>182</v>
      </c>
      <c r="F19" s="3" t="s">
        <v>23</v>
      </c>
    </row>
    <row r="20" spans="1:6" ht="15" thickBot="1" x14ac:dyDescent="0.35">
      <c r="A20" s="2">
        <v>124294</v>
      </c>
      <c r="B20" s="3" t="s">
        <v>27</v>
      </c>
      <c r="C20" s="3" t="s">
        <v>19</v>
      </c>
      <c r="D20" s="4">
        <v>182</v>
      </c>
      <c r="E20" s="4">
        <v>183</v>
      </c>
      <c r="F20" s="3" t="s">
        <v>23</v>
      </c>
    </row>
    <row r="21" spans="1:6" ht="15" thickBot="1" x14ac:dyDescent="0.35">
      <c r="A21" s="2"/>
      <c r="B21" s="3"/>
      <c r="C21" s="3"/>
      <c r="D21" s="4"/>
      <c r="E21" s="4"/>
      <c r="F21" s="3"/>
    </row>
    <row r="22" spans="1:6" ht="15" thickBot="1" x14ac:dyDescent="0.35">
      <c r="A22" s="2"/>
      <c r="B22" s="3"/>
      <c r="C22" s="3"/>
      <c r="D22" s="4"/>
      <c r="E22" s="4"/>
      <c r="F22" s="3"/>
    </row>
    <row r="23" spans="1:6" ht="15" thickBot="1" x14ac:dyDescent="0.35">
      <c r="A23" s="2"/>
      <c r="B23" s="3"/>
      <c r="C23" s="3"/>
      <c r="D23" s="4"/>
      <c r="E23" s="4"/>
      <c r="F23" s="3"/>
    </row>
    <row r="24" spans="1:6" ht="15" thickBot="1" x14ac:dyDescent="0.35">
      <c r="A24" s="2"/>
      <c r="B24" s="3"/>
      <c r="C24" s="3"/>
      <c r="D24" s="4"/>
      <c r="E24" s="4"/>
      <c r="F24" s="3"/>
    </row>
    <row r="25" spans="1:6" ht="15" thickBot="1" x14ac:dyDescent="0.35">
      <c r="A25" s="2"/>
      <c r="B25" s="3"/>
      <c r="C25" s="3"/>
      <c r="D25" s="4"/>
      <c r="E25" s="4"/>
      <c r="F25" s="3"/>
    </row>
    <row r="26" spans="1:6" ht="15" thickBot="1" x14ac:dyDescent="0.35">
      <c r="A26" s="2"/>
      <c r="B26" s="3"/>
      <c r="C26" s="3"/>
      <c r="D26" s="4"/>
      <c r="E26" s="4"/>
      <c r="F26" s="3"/>
    </row>
    <row r="27" spans="1:6" ht="15" thickBot="1" x14ac:dyDescent="0.35">
      <c r="A27" s="2"/>
      <c r="B27" s="3"/>
      <c r="C27" s="3"/>
      <c r="D27" s="4"/>
      <c r="E27" s="4"/>
      <c r="F27" s="3"/>
    </row>
    <row r="28" spans="1:6" ht="15" thickBot="1" x14ac:dyDescent="0.35">
      <c r="A28" s="2"/>
      <c r="B28" s="3"/>
      <c r="C28" s="3"/>
      <c r="D28" s="4"/>
      <c r="E28" s="4"/>
      <c r="F28" s="3"/>
    </row>
    <row r="29" spans="1:6" ht="15" thickBot="1" x14ac:dyDescent="0.35">
      <c r="A29" s="2"/>
      <c r="B29" s="3"/>
      <c r="C29" s="3"/>
      <c r="D29" s="4"/>
      <c r="E29" s="4"/>
      <c r="F29" s="3"/>
    </row>
    <row r="30" spans="1:6" ht="15" thickBot="1" x14ac:dyDescent="0.35">
      <c r="A30" s="2"/>
      <c r="B30" s="3"/>
      <c r="C30" s="3"/>
      <c r="D30" s="4"/>
      <c r="E30" s="4"/>
      <c r="F30" s="3"/>
    </row>
    <row r="31" spans="1:6" ht="15" thickBot="1" x14ac:dyDescent="0.35">
      <c r="A31" s="2"/>
      <c r="B31" s="3"/>
      <c r="C31" s="3"/>
      <c r="D31" s="4"/>
      <c r="E31" s="4"/>
      <c r="F31" s="3"/>
    </row>
    <row r="32" spans="1:6" ht="15" thickBot="1" x14ac:dyDescent="0.35">
      <c r="A32" s="2"/>
      <c r="B32" s="3"/>
      <c r="C32" s="3"/>
      <c r="D32" s="4"/>
      <c r="E32" s="4"/>
      <c r="F32" s="3"/>
    </row>
    <row r="33" spans="1:6" ht="15" thickBot="1" x14ac:dyDescent="0.35">
      <c r="A33" s="2"/>
      <c r="B33" s="3"/>
      <c r="C33" s="3"/>
      <c r="D33" s="4"/>
      <c r="E33" s="4"/>
      <c r="F33" s="3"/>
    </row>
    <row r="34" spans="1:6" ht="15" thickBot="1" x14ac:dyDescent="0.35">
      <c r="A34" s="2"/>
      <c r="B34" s="3"/>
      <c r="C34" s="3"/>
      <c r="D34" s="4"/>
      <c r="E34" s="4"/>
      <c r="F34" s="3"/>
    </row>
    <row r="35" spans="1:6" ht="15" thickBot="1" x14ac:dyDescent="0.35">
      <c r="A35" s="2"/>
      <c r="B35" s="3"/>
      <c r="C35" s="3"/>
      <c r="D35" s="4"/>
      <c r="E35" s="4"/>
      <c r="F35" s="3"/>
    </row>
    <row r="36" spans="1:6" ht="15" thickBot="1" x14ac:dyDescent="0.35">
      <c r="A36" s="2"/>
      <c r="B36" s="3"/>
      <c r="C36" s="3"/>
      <c r="D36" s="4"/>
      <c r="E36" s="4"/>
      <c r="F36" s="3"/>
    </row>
    <row r="37" spans="1:6" ht="15" thickBot="1" x14ac:dyDescent="0.35">
      <c r="A37" s="2"/>
      <c r="B37" s="3"/>
      <c r="C37" s="3"/>
      <c r="D37" s="4"/>
      <c r="E37" s="4"/>
      <c r="F37" s="3"/>
    </row>
    <row r="38" spans="1:6" ht="15" thickBot="1" x14ac:dyDescent="0.35">
      <c r="A38" s="2"/>
      <c r="B38" s="3"/>
      <c r="C38" s="3"/>
      <c r="D38" s="4"/>
      <c r="E38" s="4"/>
      <c r="F38" s="3"/>
    </row>
    <row r="39" spans="1:6" ht="15" thickBot="1" x14ac:dyDescent="0.35">
      <c r="A39" s="2"/>
      <c r="B39" s="3"/>
      <c r="C39" s="3"/>
      <c r="D39" s="4"/>
      <c r="E39" s="4"/>
      <c r="F39" s="3"/>
    </row>
    <row r="40" spans="1:6" ht="15" thickBot="1" x14ac:dyDescent="0.35">
      <c r="A40" s="2"/>
      <c r="B40" s="3"/>
      <c r="C40" s="3"/>
      <c r="D40" s="4"/>
      <c r="E40" s="4"/>
      <c r="F40" s="3"/>
    </row>
    <row r="41" spans="1:6" ht="15" thickBot="1" x14ac:dyDescent="0.35">
      <c r="A41" s="2"/>
      <c r="B41" s="3"/>
      <c r="C41" s="3"/>
      <c r="D41" s="4"/>
      <c r="E41" s="4"/>
      <c r="F41" s="3"/>
    </row>
    <row r="42" spans="1:6" ht="15" thickBot="1" x14ac:dyDescent="0.35">
      <c r="A42" s="2"/>
      <c r="B42" s="3"/>
      <c r="C42" s="3"/>
      <c r="D42" s="4"/>
      <c r="E42" s="4"/>
      <c r="F42" s="3"/>
    </row>
    <row r="43" spans="1:6" ht="15" thickBot="1" x14ac:dyDescent="0.35">
      <c r="A43" s="2"/>
      <c r="B43" s="3"/>
      <c r="C43" s="3"/>
      <c r="D43" s="4"/>
      <c r="E43" s="4"/>
      <c r="F43" s="3"/>
    </row>
    <row r="44" spans="1:6" ht="15" thickBot="1" x14ac:dyDescent="0.35">
      <c r="A44" s="2"/>
      <c r="B44" s="3"/>
      <c r="C44" s="3"/>
      <c r="D44" s="4"/>
      <c r="E44" s="4"/>
      <c r="F44" s="3"/>
    </row>
    <row r="45" spans="1:6" ht="15" thickBot="1" x14ac:dyDescent="0.35">
      <c r="A45" s="2"/>
      <c r="B45" s="3"/>
      <c r="C45" s="3"/>
      <c r="D45" s="4"/>
      <c r="E45" s="4"/>
      <c r="F45" s="3"/>
    </row>
    <row r="46" spans="1:6" ht="15" thickBot="1" x14ac:dyDescent="0.35">
      <c r="A46" s="2"/>
      <c r="B46" s="3"/>
      <c r="C46" s="3"/>
      <c r="D46" s="4"/>
      <c r="E46" s="4"/>
      <c r="F46" s="3"/>
    </row>
    <row r="47" spans="1:6" ht="15" thickBot="1" x14ac:dyDescent="0.35">
      <c r="A47" s="2"/>
      <c r="B47" s="3"/>
      <c r="C47" s="3"/>
      <c r="D47" s="4"/>
      <c r="E47" s="4"/>
      <c r="F47" s="3"/>
    </row>
    <row r="48" spans="1:6" ht="15" thickBot="1" x14ac:dyDescent="0.35">
      <c r="A48" s="2"/>
      <c r="B48" s="3"/>
      <c r="C48" s="3"/>
      <c r="D48" s="4"/>
      <c r="E48" s="4"/>
      <c r="F48" s="3"/>
    </row>
    <row r="49" spans="1:6" ht="15" thickBot="1" x14ac:dyDescent="0.35">
      <c r="A49" s="2"/>
      <c r="B49" s="3"/>
      <c r="C49" s="3"/>
      <c r="D49" s="4"/>
      <c r="E49" s="4"/>
      <c r="F49" s="3"/>
    </row>
    <row r="50" spans="1:6" ht="15" thickBot="1" x14ac:dyDescent="0.35">
      <c r="A50" s="2"/>
      <c r="B50" s="3"/>
      <c r="C50" s="3"/>
      <c r="D50" s="4"/>
      <c r="E50" s="4"/>
      <c r="F50" s="3"/>
    </row>
    <row r="51" spans="1:6" ht="15" thickBot="1" x14ac:dyDescent="0.35">
      <c r="A51" s="2"/>
      <c r="B51" s="3"/>
      <c r="C51" s="3"/>
      <c r="D51" s="4"/>
      <c r="E51" s="4"/>
      <c r="F51" s="3"/>
    </row>
    <row r="52" spans="1:6" ht="15" thickBot="1" x14ac:dyDescent="0.35">
      <c r="A52" s="2"/>
      <c r="B52" s="3"/>
      <c r="C52" s="3"/>
      <c r="D52" s="4"/>
      <c r="E52" s="4"/>
      <c r="F52" s="3"/>
    </row>
    <row r="53" spans="1:6" ht="15" thickBot="1" x14ac:dyDescent="0.35">
      <c r="A53" s="2"/>
      <c r="B53" s="3"/>
      <c r="C53" s="3"/>
      <c r="D53" s="4"/>
      <c r="E53" s="4"/>
      <c r="F53" s="3"/>
    </row>
    <row r="54" spans="1:6" ht="15" thickBot="1" x14ac:dyDescent="0.35">
      <c r="A54" s="2"/>
      <c r="B54" s="3"/>
      <c r="C54" s="3"/>
      <c r="D54" s="4"/>
      <c r="E54" s="4"/>
      <c r="F54" s="3"/>
    </row>
    <row r="55" spans="1:6" ht="15" thickBot="1" x14ac:dyDescent="0.35">
      <c r="A55" s="2"/>
      <c r="B55" s="3"/>
      <c r="C55" s="3"/>
      <c r="D55" s="4"/>
      <c r="E55" s="4"/>
      <c r="F55" s="3"/>
    </row>
    <row r="56" spans="1:6" x14ac:dyDescent="0.3">
      <c r="A56" s="2"/>
      <c r="B56" s="3"/>
      <c r="C56" s="3"/>
      <c r="D56" s="4"/>
      <c r="E56" s="4"/>
      <c r="F56" s="3"/>
    </row>
    <row r="58" spans="1:6" x14ac:dyDescent="0.3">
      <c r="A58" t="s">
        <v>15</v>
      </c>
    </row>
  </sheetData>
  <sheetProtection algorithmName="SHA-512" hashValue="BJthn0xbHwHSzaxlf9mkQSYYrRuFzEgtmjmD0ZX+bolUrj71DAfi5R05Mo0DtdBpiX/5yYRNicGxLcv71aAHmA==" saltValue="5fFqULegbI4+3DlDfSJxVg==" spinCount="100000" sheet="1" objects="1" scenarios="1"/>
  <mergeCells count="5">
    <mergeCell ref="A8:A9"/>
    <mergeCell ref="B8:B9"/>
    <mergeCell ref="D8:E8"/>
    <mergeCell ref="F8:F9"/>
    <mergeCell ref="C8:C9"/>
  </mergeCells>
  <phoneticPr fontId="7" type="noConversion"/>
  <conditionalFormatting sqref="D10:E10">
    <cfRule type="cellIs" dxfId="4" priority="1" operator="equal">
      <formula>0</formula>
    </cfRule>
    <cfRule type="cellIs" dxfId="3" priority="3" operator="lessThan">
      <formula>170</formula>
    </cfRule>
  </conditionalFormatting>
  <conditionalFormatting sqref="D12:E56">
    <cfRule type="cellIs" dxfId="2" priority="2" operator="greaterThan">
      <formula>190</formula>
    </cfRule>
  </conditionalFormatting>
  <conditionalFormatting sqref="D13:E56">
    <cfRule type="cellIs" dxfId="1" priority="4" operator="equal">
      <formula>0</formula>
    </cfRule>
    <cfRule type="cellIs" dxfId="0" priority="5" operator="lessThan">
      <formula>180</formula>
    </cfRule>
  </conditionalFormatting>
  <pageMargins left="0.70866141732283472" right="0.70866141732283472" top="0.74803149606299213" bottom="0.74803149606299213" header="0.31496062992125984" footer="0.31496062992125984"/>
  <pageSetup paperSize="9" scale="8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Oldenburger, Eugen</dc:creator>
  <cp:lastModifiedBy>Sugi.4</cp:lastModifiedBy>
  <cp:lastPrinted>2025-04-14T13:09:34Z</cp:lastPrinted>
  <dcterms:created xsi:type="dcterms:W3CDTF">2015-06-05T18:19:34Z</dcterms:created>
  <dcterms:modified xsi:type="dcterms:W3CDTF">2026-03-23T06:57:57Z</dcterms:modified>
</cp:coreProperties>
</file>